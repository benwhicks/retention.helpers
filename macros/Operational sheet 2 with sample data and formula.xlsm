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bhicks\Documents\csu.retention\macros\"/>
    </mc:Choice>
  </mc:AlternateContent>
  <bookViews>
    <workbookView xWindow="0" yWindow="0" windowWidth="28800" windowHeight="12435"/>
  </bookViews>
  <sheets>
    <sheet name="Callout sheet" sheetId="1" r:id="rId1"/>
    <sheet name="#Everything (2)" sheetId="5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2" i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3" i="5"/>
  <c r="A2" i="5"/>
</calcChain>
</file>

<file path=xl/sharedStrings.xml><?xml version="1.0" encoding="utf-8"?>
<sst xmlns="http://schemas.openxmlformats.org/spreadsheetml/2006/main" count="1269" uniqueCount="173">
  <si>
    <t>Call 2</t>
  </si>
  <si>
    <t>Call 1</t>
  </si>
  <si>
    <t>Reason students flagged for subjects</t>
  </si>
  <si>
    <t>Name of flagged subjects</t>
  </si>
  <si>
    <t>Number of subjects student flagged in</t>
  </si>
  <si>
    <t>Recommended submission date</t>
  </si>
  <si>
    <t>Value</t>
  </si>
  <si>
    <t>Flag (missed assessment item or i2 access)</t>
  </si>
  <si>
    <t>Previous fails in subject</t>
  </si>
  <si>
    <t>Total I2 subject site accesses</t>
  </si>
  <si>
    <t>Last I2 subject site access date</t>
  </si>
  <si>
    <t>Subject outline accessed</t>
  </si>
  <si>
    <t>Subject enrolment added to ASSIST</t>
  </si>
  <si>
    <t>Subject offering</t>
  </si>
  <si>
    <t>Commencing student?</t>
  </si>
  <si>
    <t>Course enrolment</t>
  </si>
  <si>
    <t>After-hours number</t>
  </si>
  <si>
    <t>Primary phone number</t>
  </si>
  <si>
    <t>Last access</t>
  </si>
  <si>
    <t>Student last name</t>
  </si>
  <si>
    <t>Student first name</t>
  </si>
  <si>
    <t>Student ID</t>
  </si>
  <si>
    <t>Assessment item</t>
  </si>
  <si>
    <t>Appears in callout</t>
  </si>
  <si>
    <t>Altass</t>
  </si>
  <si>
    <t>Jonathon</t>
  </si>
  <si>
    <t>-</t>
  </si>
  <si>
    <t>Commencing</t>
  </si>
  <si>
    <t>BMS126_202030_A_I</t>
  </si>
  <si>
    <t>Yes</t>
  </si>
  <si>
    <t>Online Week 2 Quiz</t>
  </si>
  <si>
    <t>Bowern</t>
  </si>
  <si>
    <t>John</t>
  </si>
  <si>
    <t>No</t>
  </si>
  <si>
    <t>Clowes</t>
  </si>
  <si>
    <t>Jessica</t>
  </si>
  <si>
    <t>Day</t>
  </si>
  <si>
    <t>Ellen</t>
  </si>
  <si>
    <t>Dixon</t>
  </si>
  <si>
    <t>Jennifer</t>
  </si>
  <si>
    <t>Faulder</t>
  </si>
  <si>
    <t>Lillie</t>
  </si>
  <si>
    <t>Faulks</t>
  </si>
  <si>
    <t>Sarah</t>
  </si>
  <si>
    <t>Harman</t>
  </si>
  <si>
    <t>Stephanie</t>
  </si>
  <si>
    <t>Continuing</t>
  </si>
  <si>
    <t>Heywood</t>
  </si>
  <si>
    <t>Kirrily</t>
  </si>
  <si>
    <t>James-Mcmaster</t>
  </si>
  <si>
    <t>Ailie</t>
  </si>
  <si>
    <t>Johnston</t>
  </si>
  <si>
    <t>Aimee</t>
  </si>
  <si>
    <t>Keough</t>
  </si>
  <si>
    <t>Molly</t>
  </si>
  <si>
    <t>Khangura</t>
  </si>
  <si>
    <t>Simran</t>
  </si>
  <si>
    <t>Lenon</t>
  </si>
  <si>
    <t>M'Kaylee</t>
  </si>
  <si>
    <t>Maxwell</t>
  </si>
  <si>
    <t>Megan</t>
  </si>
  <si>
    <t>Nankervis</t>
  </si>
  <si>
    <t>Tara</t>
  </si>
  <si>
    <t>Neville</t>
  </si>
  <si>
    <t>Maille</t>
  </si>
  <si>
    <t>O'Prey</t>
  </si>
  <si>
    <t>Grace</t>
  </si>
  <si>
    <t>Perkins</t>
  </si>
  <si>
    <t>Cheryl</t>
  </si>
  <si>
    <t>Powell</t>
  </si>
  <si>
    <t>Katherine</t>
  </si>
  <si>
    <t>Skinner</t>
  </si>
  <si>
    <t>Sophia</t>
  </si>
  <si>
    <t>Trenery</t>
  </si>
  <si>
    <t>Georgia</t>
  </si>
  <si>
    <t>Willis</t>
  </si>
  <si>
    <t>Zambelli</t>
  </si>
  <si>
    <t>Student Last name</t>
  </si>
  <si>
    <t>Student First name</t>
  </si>
  <si>
    <t>Dean</t>
  </si>
  <si>
    <t>Joshua</t>
  </si>
  <si>
    <t>Bachelor of Physiotherapy(4405PH01_4405PH)</t>
  </si>
  <si>
    <t>BMS171_202030_A_I</t>
  </si>
  <si>
    <t>Spice</t>
  </si>
  <si>
    <t>Jodi</t>
  </si>
  <si>
    <t>Bachelor of Occupational Therapy(4409OT01_4409OT)</t>
  </si>
  <si>
    <t>Tsiavos</t>
  </si>
  <si>
    <t>Dimitrios</t>
  </si>
  <si>
    <t>Bachelor of Podiatric Medicine(4409PD01_4414PD)</t>
  </si>
  <si>
    <t>Barby</t>
  </si>
  <si>
    <t>Nicole</t>
  </si>
  <si>
    <t>Charles Sturt University Supplementary Course(0000SC01_0000SC)</t>
  </si>
  <si>
    <t>Donney</t>
  </si>
  <si>
    <t>Katelyn</t>
  </si>
  <si>
    <t>Balachandran</t>
  </si>
  <si>
    <t>Prashanth</t>
  </si>
  <si>
    <t>Andrews</t>
  </si>
  <si>
    <t>Joanne</t>
  </si>
  <si>
    <t>Pilkington</t>
  </si>
  <si>
    <t>Jamie</t>
  </si>
  <si>
    <t>Shaw</t>
  </si>
  <si>
    <t>Meryn</t>
  </si>
  <si>
    <t>McDonald</t>
  </si>
  <si>
    <t>Keely</t>
  </si>
  <si>
    <t>Bachelor of Health and Rehabilitation Science(4409RS01_4409RS)</t>
  </si>
  <si>
    <t>Sredojevic</t>
  </si>
  <si>
    <t>Bree</t>
  </si>
  <si>
    <t>Elder</t>
  </si>
  <si>
    <t>Milo</t>
  </si>
  <si>
    <t>Fischer</t>
  </si>
  <si>
    <t>Rachel</t>
  </si>
  <si>
    <t>Jessie-Rose</t>
  </si>
  <si>
    <t>Metcalf Salter</t>
  </si>
  <si>
    <t>Jaymeii</t>
  </si>
  <si>
    <t>Dunstall</t>
  </si>
  <si>
    <t>Amy</t>
  </si>
  <si>
    <t>Marsh</t>
  </si>
  <si>
    <t>David</t>
  </si>
  <si>
    <t>Mitchell</t>
  </si>
  <si>
    <t>Reilly</t>
  </si>
  <si>
    <t>Upadhyay</t>
  </si>
  <si>
    <t>Vidhi</t>
  </si>
  <si>
    <t>Richardson</t>
  </si>
  <si>
    <t>Meg</t>
  </si>
  <si>
    <t>Hetherington</t>
  </si>
  <si>
    <t>Bridget</t>
  </si>
  <si>
    <t>Bohr-Howell</t>
  </si>
  <si>
    <t>Shanae</t>
  </si>
  <si>
    <t>French</t>
  </si>
  <si>
    <t>Dale</t>
  </si>
  <si>
    <t>Knight</t>
  </si>
  <si>
    <t>McMillan</t>
  </si>
  <si>
    <t>Laura</t>
  </si>
  <si>
    <t>King</t>
  </si>
  <si>
    <t>Samuel</t>
  </si>
  <si>
    <t>Hall</t>
  </si>
  <si>
    <t>James</t>
  </si>
  <si>
    <t>Bell</t>
  </si>
  <si>
    <t>Carmel</t>
  </si>
  <si>
    <t>Newman</t>
  </si>
  <si>
    <t>Smith</t>
  </si>
  <si>
    <t>Zoe</t>
  </si>
  <si>
    <t>Guerin</t>
  </si>
  <si>
    <t>Lucy Jane</t>
  </si>
  <si>
    <t>O'Connor</t>
  </si>
  <si>
    <t>Melanie</t>
  </si>
  <si>
    <t>Balzer</t>
  </si>
  <si>
    <t>Charlotte</t>
  </si>
  <si>
    <t>Louwrier</t>
  </si>
  <si>
    <t>Mandloi</t>
  </si>
  <si>
    <t>Divyanshi</t>
  </si>
  <si>
    <t>Duffy-Watson</t>
  </si>
  <si>
    <t>Emilie</t>
  </si>
  <si>
    <t>Glynn</t>
  </si>
  <si>
    <t>Darcy</t>
  </si>
  <si>
    <t>Kent</t>
  </si>
  <si>
    <t>Eva</t>
  </si>
  <si>
    <t>McLean</t>
  </si>
  <si>
    <t>Keisha</t>
  </si>
  <si>
    <t>Gorton</t>
  </si>
  <si>
    <t>Amber</t>
  </si>
  <si>
    <t>Cox</t>
  </si>
  <si>
    <t>Seary</t>
  </si>
  <si>
    <t>Allanah</t>
  </si>
  <si>
    <t>Gallaher</t>
  </si>
  <si>
    <t>Rex</t>
  </si>
  <si>
    <t>Guelen</t>
  </si>
  <si>
    <t>Jacalyn</t>
  </si>
  <si>
    <t>Renfrey</t>
  </si>
  <si>
    <t>Sophie</t>
  </si>
  <si>
    <t>Peel</t>
  </si>
  <si>
    <t>Tegan</t>
  </si>
  <si>
    <t>Online Introduction quis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</si>
</sst>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0" fillId="5" borderId="1" xfId="0" applyFill="1" applyBorder="1" applyAlignment="1">
      <alignment wrapText="1"/>
    </xf>
    <xf numFmtId="0" fontId="1" fillId="3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wrapText="1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9" fontId="0" fillId="0" borderId="0" xfId="0" applyNumberForma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9"/>
  <sheetViews>
    <sheetView tabSelected="1" workbookViewId="0">
      <selection activeCell="S3" sqref="S3"/>
    </sheetView>
  </sheetViews>
  <sheetFormatPr defaultRowHeight="15" x14ac:dyDescent="0.25"/>
  <cols>
    <col min="15" max="15" width="16.42578125" customWidth="1"/>
    <col min="17" max="17" width="15" customWidth="1"/>
    <col min="18" max="20" width="13.28515625" customWidth="1"/>
  </cols>
  <sheetData>
    <row r="1" spans="1:22" ht="75" x14ac:dyDescent="0.25">
      <c r="A1" s="9" t="s">
        <v>21</v>
      </c>
      <c r="B1" s="9" t="s">
        <v>77</v>
      </c>
      <c r="C1" s="9" t="s">
        <v>78</v>
      </c>
      <c r="D1" s="9" t="s">
        <v>18</v>
      </c>
      <c r="E1" s="9" t="s">
        <v>17</v>
      </c>
      <c r="F1" s="9" t="s">
        <v>16</v>
      </c>
      <c r="G1" s="9" t="s">
        <v>15</v>
      </c>
      <c r="H1" s="9" t="s">
        <v>14</v>
      </c>
      <c r="I1" s="9" t="s">
        <v>13</v>
      </c>
      <c r="J1" s="4" t="s">
        <v>12</v>
      </c>
      <c r="K1" s="4" t="s">
        <v>11</v>
      </c>
      <c r="L1" s="5" t="s">
        <v>10</v>
      </c>
      <c r="M1" s="4" t="s">
        <v>9</v>
      </c>
      <c r="N1" s="4" t="s">
        <v>8</v>
      </c>
      <c r="O1" s="3" t="s">
        <v>7</v>
      </c>
      <c r="P1" s="3" t="s">
        <v>6</v>
      </c>
      <c r="Q1" s="8" t="s">
        <v>5</v>
      </c>
      <c r="R1" s="2" t="s">
        <v>4</v>
      </c>
      <c r="S1" s="2" t="s">
        <v>3</v>
      </c>
      <c r="T1" s="2" t="s">
        <v>2</v>
      </c>
      <c r="U1" s="1" t="s">
        <v>1</v>
      </c>
      <c r="V1" s="1" t="s">
        <v>0</v>
      </c>
    </row>
    <row r="2" spans="1:22" x14ac:dyDescent="0.25">
      <c r="A2">
        <v>11539124</v>
      </c>
      <c r="B2" t="s">
        <v>24</v>
      </c>
      <c r="C2" t="s">
        <v>25</v>
      </c>
      <c r="D2" s="10">
        <v>43899.890393518515</v>
      </c>
      <c r="E2">
        <v>488716479</v>
      </c>
      <c r="F2">
        <v>488716479</v>
      </c>
      <c r="G2" t="s">
        <v>26</v>
      </c>
      <c r="H2" t="s">
        <v>27</v>
      </c>
      <c r="I2" t="s">
        <v>28</v>
      </c>
      <c r="J2" s="11">
        <v>43809</v>
      </c>
      <c r="K2" t="s">
        <v>29</v>
      </c>
      <c r="L2" s="11">
        <v>43899</v>
      </c>
      <c r="M2">
        <v>22</v>
      </c>
      <c r="N2" s="12" t="s">
        <v>26</v>
      </c>
      <c r="O2" t="s">
        <v>30</v>
      </c>
      <c r="P2" s="13">
        <v>0.01</v>
      </c>
      <c r="Q2" s="11">
        <v>43901</v>
      </c>
      <c r="R2">
        <f>COUNTIF('#Everything (2)'!B:B, 'Callout sheet'!A2)</f>
        <v>1</v>
      </c>
    </row>
    <row r="3" spans="1:22" x14ac:dyDescent="0.25">
      <c r="A3">
        <v>11715933</v>
      </c>
      <c r="B3" t="s">
        <v>31</v>
      </c>
      <c r="C3" t="s">
        <v>32</v>
      </c>
      <c r="D3" s="10">
        <v>43901.520740740743</v>
      </c>
      <c r="E3">
        <v>448491724</v>
      </c>
      <c r="F3">
        <v>439557796</v>
      </c>
      <c r="G3" t="s">
        <v>26</v>
      </c>
      <c r="H3" t="s">
        <v>27</v>
      </c>
      <c r="I3" t="s">
        <v>28</v>
      </c>
      <c r="J3" s="11">
        <v>43822</v>
      </c>
      <c r="K3" t="s">
        <v>33</v>
      </c>
      <c r="L3" s="11">
        <v>43901</v>
      </c>
      <c r="M3">
        <v>4</v>
      </c>
      <c r="N3" s="12" t="s">
        <v>26</v>
      </c>
      <c r="O3" t="s">
        <v>30</v>
      </c>
      <c r="P3" s="13">
        <v>0.01</v>
      </c>
      <c r="Q3" s="11">
        <v>43901</v>
      </c>
      <c r="R3">
        <f>COUNTIF('#Everything (2)'!B:B, 'Callout sheet'!A3)</f>
        <v>1</v>
      </c>
    </row>
    <row r="4" spans="1:22" x14ac:dyDescent="0.25">
      <c r="A4">
        <v>11705341</v>
      </c>
      <c r="B4" t="s">
        <v>34</v>
      </c>
      <c r="C4" t="s">
        <v>35</v>
      </c>
      <c r="E4">
        <v>401184057</v>
      </c>
      <c r="F4" t="s">
        <v>26</v>
      </c>
      <c r="G4" t="s">
        <v>26</v>
      </c>
      <c r="H4" t="s">
        <v>27</v>
      </c>
      <c r="I4" t="s">
        <v>28</v>
      </c>
      <c r="J4" s="11">
        <v>43902</v>
      </c>
      <c r="K4" t="s">
        <v>33</v>
      </c>
      <c r="L4" t="s">
        <v>26</v>
      </c>
      <c r="M4">
        <v>0</v>
      </c>
      <c r="N4" s="12" t="s">
        <v>26</v>
      </c>
      <c r="O4" t="s">
        <v>30</v>
      </c>
      <c r="P4" s="13">
        <v>0.01</v>
      </c>
      <c r="Q4" s="11">
        <v>43901</v>
      </c>
      <c r="R4">
        <f>COUNTIF('#Everything (2)'!B:B, 'Callout sheet'!A4)</f>
        <v>2</v>
      </c>
    </row>
    <row r="5" spans="1:22" x14ac:dyDescent="0.25">
      <c r="A5">
        <v>11690276</v>
      </c>
      <c r="B5" t="s">
        <v>36</v>
      </c>
      <c r="C5" t="s">
        <v>37</v>
      </c>
      <c r="D5" s="10">
        <v>43901.51935185185</v>
      </c>
      <c r="E5">
        <v>401518070</v>
      </c>
      <c r="F5">
        <v>401518070</v>
      </c>
      <c r="G5" t="s">
        <v>26</v>
      </c>
      <c r="H5" t="s">
        <v>27</v>
      </c>
      <c r="I5" t="s">
        <v>28</v>
      </c>
      <c r="J5" s="11">
        <v>43809</v>
      </c>
      <c r="K5" t="s">
        <v>29</v>
      </c>
      <c r="L5" s="11">
        <v>43901</v>
      </c>
      <c r="M5">
        <v>9</v>
      </c>
      <c r="N5" s="12" t="s">
        <v>26</v>
      </c>
      <c r="O5" t="s">
        <v>30</v>
      </c>
      <c r="P5" s="13">
        <v>0.01</v>
      </c>
      <c r="Q5" s="11">
        <v>43901</v>
      </c>
      <c r="R5">
        <f>COUNTIF('#Everything (2)'!B:B, 'Callout sheet'!A5)</f>
        <v>2</v>
      </c>
    </row>
    <row r="6" spans="1:22" x14ac:dyDescent="0.25">
      <c r="A6">
        <v>11685939</v>
      </c>
      <c r="B6" t="s">
        <v>38</v>
      </c>
      <c r="C6" t="s">
        <v>39</v>
      </c>
      <c r="D6" s="10">
        <v>43899.797546296293</v>
      </c>
      <c r="E6">
        <v>456736757</v>
      </c>
      <c r="F6">
        <v>456736757</v>
      </c>
      <c r="G6" t="s">
        <v>26</v>
      </c>
      <c r="H6" t="s">
        <v>27</v>
      </c>
      <c r="I6" t="s">
        <v>28</v>
      </c>
      <c r="J6" s="11">
        <v>43809</v>
      </c>
      <c r="K6" t="s">
        <v>29</v>
      </c>
      <c r="L6" s="11">
        <v>43899</v>
      </c>
      <c r="M6">
        <v>3</v>
      </c>
      <c r="N6" s="12" t="s">
        <v>26</v>
      </c>
      <c r="O6" t="s">
        <v>30</v>
      </c>
      <c r="P6" s="13">
        <v>0.01</v>
      </c>
      <c r="Q6" s="11">
        <v>43901</v>
      </c>
      <c r="R6">
        <f>COUNTIF('#Everything (2)'!B:B, 'Callout sheet'!A6)</f>
        <v>1</v>
      </c>
    </row>
    <row r="7" spans="1:22" x14ac:dyDescent="0.25">
      <c r="A7">
        <v>11712393</v>
      </c>
      <c r="B7" t="s">
        <v>40</v>
      </c>
      <c r="C7" t="s">
        <v>41</v>
      </c>
      <c r="D7" s="10">
        <v>43900.767083333332</v>
      </c>
      <c r="E7">
        <v>419983448</v>
      </c>
      <c r="F7" t="s">
        <v>26</v>
      </c>
      <c r="G7" t="s">
        <v>26</v>
      </c>
      <c r="H7" t="s">
        <v>27</v>
      </c>
      <c r="I7" t="s">
        <v>28</v>
      </c>
      <c r="J7" s="11">
        <v>43809</v>
      </c>
      <c r="K7" t="s">
        <v>29</v>
      </c>
      <c r="L7" s="11">
        <v>43900</v>
      </c>
      <c r="M7">
        <v>6</v>
      </c>
      <c r="N7" s="12" t="s">
        <v>26</v>
      </c>
      <c r="O7" t="s">
        <v>30</v>
      </c>
      <c r="P7" s="13">
        <v>0.01</v>
      </c>
      <c r="Q7" s="11">
        <v>43901</v>
      </c>
      <c r="R7">
        <f>COUNTIF('#Everything (2)'!B:B, 'Callout sheet'!A7)</f>
        <v>1</v>
      </c>
    </row>
    <row r="8" spans="1:22" x14ac:dyDescent="0.25">
      <c r="A8">
        <v>11715210</v>
      </c>
      <c r="B8" t="s">
        <v>42</v>
      </c>
      <c r="C8" t="s">
        <v>43</v>
      </c>
      <c r="D8" s="10">
        <v>43902.50273148148</v>
      </c>
      <c r="E8">
        <v>456389011</v>
      </c>
      <c r="F8" t="s">
        <v>26</v>
      </c>
      <c r="G8" t="s">
        <v>26</v>
      </c>
      <c r="H8" t="s">
        <v>27</v>
      </c>
      <c r="I8" t="s">
        <v>28</v>
      </c>
      <c r="J8" s="11">
        <v>43811</v>
      </c>
      <c r="K8" t="s">
        <v>29</v>
      </c>
      <c r="L8" s="11">
        <v>43900</v>
      </c>
      <c r="M8">
        <v>6</v>
      </c>
      <c r="N8" s="12" t="s">
        <v>26</v>
      </c>
      <c r="O8" t="s">
        <v>30</v>
      </c>
      <c r="P8" s="13">
        <v>0.01</v>
      </c>
      <c r="Q8" s="11">
        <v>43901</v>
      </c>
      <c r="R8">
        <f>COUNTIF('#Everything (2)'!B:B, 'Callout sheet'!A8)</f>
        <v>1</v>
      </c>
    </row>
    <row r="9" spans="1:22" x14ac:dyDescent="0.25">
      <c r="A9">
        <v>11658516</v>
      </c>
      <c r="B9" t="s">
        <v>44</v>
      </c>
      <c r="C9" t="s">
        <v>45</v>
      </c>
      <c r="D9" s="10">
        <v>43901.530474537038</v>
      </c>
      <c r="E9">
        <v>459174903</v>
      </c>
      <c r="F9" t="s">
        <v>26</v>
      </c>
      <c r="G9" t="s">
        <v>26</v>
      </c>
      <c r="H9" t="s">
        <v>46</v>
      </c>
      <c r="I9" t="s">
        <v>28</v>
      </c>
      <c r="J9" s="11">
        <v>43809</v>
      </c>
      <c r="K9" t="s">
        <v>29</v>
      </c>
      <c r="L9" s="11">
        <v>43901</v>
      </c>
      <c r="M9">
        <v>14</v>
      </c>
      <c r="N9" s="12" t="s">
        <v>26</v>
      </c>
      <c r="O9" t="s">
        <v>30</v>
      </c>
      <c r="P9" s="13">
        <v>0.01</v>
      </c>
      <c r="Q9" s="11">
        <v>43901</v>
      </c>
      <c r="R9">
        <f>COUNTIF('#Everything (2)'!B:B, 'Callout sheet'!A9)</f>
        <v>2</v>
      </c>
    </row>
    <row r="10" spans="1:22" x14ac:dyDescent="0.25">
      <c r="A10">
        <v>11716227</v>
      </c>
      <c r="B10" t="s">
        <v>47</v>
      </c>
      <c r="C10" t="s">
        <v>48</v>
      </c>
      <c r="D10" s="10">
        <v>43899.490694444445</v>
      </c>
      <c r="E10">
        <v>491600102</v>
      </c>
      <c r="F10">
        <v>44439531</v>
      </c>
      <c r="G10" t="s">
        <v>26</v>
      </c>
      <c r="H10" t="s">
        <v>27</v>
      </c>
      <c r="I10" t="s">
        <v>28</v>
      </c>
      <c r="J10" s="11">
        <v>43822</v>
      </c>
      <c r="K10" t="s">
        <v>29</v>
      </c>
      <c r="L10" s="11">
        <v>43899</v>
      </c>
      <c r="M10">
        <v>6</v>
      </c>
      <c r="N10" s="12" t="s">
        <v>26</v>
      </c>
      <c r="O10" t="s">
        <v>30</v>
      </c>
      <c r="P10" s="13">
        <v>0.01</v>
      </c>
      <c r="Q10" s="11">
        <v>43901</v>
      </c>
      <c r="R10">
        <f>COUNTIF('#Everything (2)'!B:B, 'Callout sheet'!A10)</f>
        <v>1</v>
      </c>
    </row>
    <row r="11" spans="1:22" x14ac:dyDescent="0.25">
      <c r="A11">
        <v>11709821</v>
      </c>
      <c r="B11" t="s">
        <v>49</v>
      </c>
      <c r="C11" t="s">
        <v>50</v>
      </c>
      <c r="D11" s="10">
        <v>43899.899583333332</v>
      </c>
      <c r="E11">
        <v>437860672</v>
      </c>
      <c r="F11" t="s">
        <v>26</v>
      </c>
      <c r="G11" t="s">
        <v>26</v>
      </c>
      <c r="H11" t="s">
        <v>27</v>
      </c>
      <c r="I11" t="s">
        <v>28</v>
      </c>
      <c r="J11" s="11">
        <v>43809</v>
      </c>
      <c r="K11" t="s">
        <v>29</v>
      </c>
      <c r="L11" s="11">
        <v>43899</v>
      </c>
      <c r="M11">
        <v>9</v>
      </c>
      <c r="N11" s="12" t="s">
        <v>26</v>
      </c>
      <c r="O11" t="s">
        <v>30</v>
      </c>
      <c r="P11" s="13">
        <v>0.01</v>
      </c>
      <c r="Q11" s="11">
        <v>43901</v>
      </c>
      <c r="R11">
        <f>COUNTIF('#Everything (2)'!B:B, 'Callout sheet'!A11)</f>
        <v>1</v>
      </c>
    </row>
    <row r="12" spans="1:22" x14ac:dyDescent="0.25">
      <c r="A12">
        <v>11687020</v>
      </c>
      <c r="B12" t="s">
        <v>51</v>
      </c>
      <c r="C12" t="s">
        <v>52</v>
      </c>
      <c r="D12" s="10">
        <v>43901.51934027778</v>
      </c>
      <c r="E12">
        <v>429533099</v>
      </c>
      <c r="F12">
        <v>429533099</v>
      </c>
      <c r="G12" t="s">
        <v>26</v>
      </c>
      <c r="H12" t="s">
        <v>27</v>
      </c>
      <c r="I12" t="s">
        <v>28</v>
      </c>
      <c r="J12" s="11">
        <v>43809</v>
      </c>
      <c r="K12" t="s">
        <v>29</v>
      </c>
      <c r="L12" s="11">
        <v>43901</v>
      </c>
      <c r="M12">
        <v>6</v>
      </c>
      <c r="N12" s="12" t="s">
        <v>26</v>
      </c>
      <c r="O12" t="s">
        <v>30</v>
      </c>
      <c r="P12" s="13">
        <v>0.01</v>
      </c>
      <c r="Q12" s="11">
        <v>43901</v>
      </c>
      <c r="R12">
        <f>COUNTIF('#Everything (2)'!B:B, 'Callout sheet'!A12)</f>
        <v>1</v>
      </c>
    </row>
    <row r="13" spans="1:22" x14ac:dyDescent="0.25">
      <c r="A13">
        <v>11716311</v>
      </c>
      <c r="B13" t="s">
        <v>53</v>
      </c>
      <c r="C13" t="s">
        <v>54</v>
      </c>
      <c r="D13" s="10">
        <v>43902.388842592591</v>
      </c>
      <c r="E13">
        <v>477201643</v>
      </c>
      <c r="F13">
        <v>477201643</v>
      </c>
      <c r="G13" t="s">
        <v>26</v>
      </c>
      <c r="H13" t="s">
        <v>27</v>
      </c>
      <c r="I13" t="s">
        <v>28</v>
      </c>
      <c r="J13" s="11">
        <v>43822</v>
      </c>
      <c r="K13" t="s">
        <v>29</v>
      </c>
      <c r="L13" s="11">
        <v>43901</v>
      </c>
      <c r="M13">
        <v>10</v>
      </c>
      <c r="N13" s="12" t="s">
        <v>26</v>
      </c>
      <c r="O13" t="s">
        <v>30</v>
      </c>
      <c r="P13" s="13">
        <v>0.01</v>
      </c>
      <c r="Q13" s="11">
        <v>43901</v>
      </c>
      <c r="R13">
        <f>COUNTIF('#Everything (2)'!B:B, 'Callout sheet'!A13)</f>
        <v>1</v>
      </c>
    </row>
    <row r="14" spans="1:22" x14ac:dyDescent="0.25">
      <c r="A14">
        <v>11706367</v>
      </c>
      <c r="B14" t="s">
        <v>55</v>
      </c>
      <c r="C14" t="s">
        <v>56</v>
      </c>
      <c r="D14" s="10">
        <v>43900.459849537037</v>
      </c>
      <c r="E14">
        <v>434086445</v>
      </c>
      <c r="F14" t="s">
        <v>26</v>
      </c>
      <c r="G14" t="s">
        <v>26</v>
      </c>
      <c r="H14" t="s">
        <v>46</v>
      </c>
      <c r="I14" t="s">
        <v>28</v>
      </c>
      <c r="J14" s="11">
        <v>43809</v>
      </c>
      <c r="K14" t="s">
        <v>29</v>
      </c>
      <c r="L14" s="11">
        <v>43900</v>
      </c>
      <c r="M14">
        <v>5</v>
      </c>
      <c r="N14" s="12" t="s">
        <v>26</v>
      </c>
      <c r="O14" t="s">
        <v>30</v>
      </c>
      <c r="P14" s="13">
        <v>0.01</v>
      </c>
      <c r="Q14" s="11">
        <v>43901</v>
      </c>
      <c r="R14">
        <f>COUNTIF('#Everything (2)'!B:B, 'Callout sheet'!A14)</f>
        <v>1</v>
      </c>
    </row>
    <row r="15" spans="1:22" x14ac:dyDescent="0.25">
      <c r="A15">
        <v>11707002</v>
      </c>
      <c r="B15" t="s">
        <v>57</v>
      </c>
      <c r="C15" t="s">
        <v>58</v>
      </c>
      <c r="D15" s="10">
        <v>43901.462395833332</v>
      </c>
      <c r="E15">
        <v>499111109</v>
      </c>
      <c r="F15" t="s">
        <v>26</v>
      </c>
      <c r="G15" t="s">
        <v>26</v>
      </c>
      <c r="H15" t="s">
        <v>46</v>
      </c>
      <c r="I15" t="s">
        <v>28</v>
      </c>
      <c r="J15" s="11">
        <v>43886</v>
      </c>
      <c r="K15" t="s">
        <v>29</v>
      </c>
      <c r="L15" s="11">
        <v>43901</v>
      </c>
      <c r="M15">
        <v>10</v>
      </c>
      <c r="N15" s="12" t="s">
        <v>26</v>
      </c>
      <c r="O15" t="s">
        <v>30</v>
      </c>
      <c r="P15" s="13">
        <v>0.01</v>
      </c>
      <c r="Q15" s="11">
        <v>43901</v>
      </c>
      <c r="R15">
        <f>COUNTIF('#Everything (2)'!B:B, 'Callout sheet'!A15)</f>
        <v>1</v>
      </c>
    </row>
    <row r="16" spans="1:22" x14ac:dyDescent="0.25">
      <c r="A16">
        <v>11712653</v>
      </c>
      <c r="B16" t="s">
        <v>59</v>
      </c>
      <c r="C16" t="s">
        <v>60</v>
      </c>
      <c r="E16">
        <v>475470004</v>
      </c>
      <c r="F16">
        <v>68816607</v>
      </c>
      <c r="G16" t="s">
        <v>26</v>
      </c>
      <c r="H16" t="s">
        <v>27</v>
      </c>
      <c r="I16" t="s">
        <v>28</v>
      </c>
      <c r="J16" s="11">
        <v>43809</v>
      </c>
      <c r="K16" t="s">
        <v>33</v>
      </c>
      <c r="L16" t="s">
        <v>26</v>
      </c>
      <c r="M16">
        <v>0</v>
      </c>
      <c r="N16" s="12" t="s">
        <v>26</v>
      </c>
      <c r="O16" t="s">
        <v>30</v>
      </c>
      <c r="P16" s="13">
        <v>0.01</v>
      </c>
      <c r="Q16" s="11">
        <v>43901</v>
      </c>
      <c r="R16">
        <f>COUNTIF('#Everything (2)'!B:B, 'Callout sheet'!A16)</f>
        <v>1</v>
      </c>
    </row>
    <row r="17" spans="1:18" x14ac:dyDescent="0.25">
      <c r="A17">
        <v>11658752</v>
      </c>
      <c r="B17" t="s">
        <v>61</v>
      </c>
      <c r="C17" t="s">
        <v>62</v>
      </c>
      <c r="D17" s="10">
        <v>43901.52008101852</v>
      </c>
      <c r="E17">
        <v>403139354</v>
      </c>
      <c r="F17" t="s">
        <v>26</v>
      </c>
      <c r="G17" t="s">
        <v>26</v>
      </c>
      <c r="H17" t="s">
        <v>46</v>
      </c>
      <c r="I17" t="s">
        <v>28</v>
      </c>
      <c r="J17" s="11">
        <v>43809</v>
      </c>
      <c r="K17" t="s">
        <v>29</v>
      </c>
      <c r="L17" s="11">
        <v>43901</v>
      </c>
      <c r="M17">
        <v>11</v>
      </c>
      <c r="N17" s="12" t="s">
        <v>26</v>
      </c>
      <c r="O17" t="s">
        <v>30</v>
      </c>
      <c r="P17" s="13">
        <v>0.01</v>
      </c>
      <c r="Q17" s="11">
        <v>43901</v>
      </c>
      <c r="R17">
        <f>COUNTIF('#Everything (2)'!B:B, 'Callout sheet'!A17)</f>
        <v>2</v>
      </c>
    </row>
    <row r="18" spans="1:18" x14ac:dyDescent="0.25">
      <c r="A18">
        <v>11712730</v>
      </c>
      <c r="B18" t="s">
        <v>63</v>
      </c>
      <c r="C18" t="s">
        <v>64</v>
      </c>
      <c r="D18" s="10">
        <v>43901.567974537036</v>
      </c>
      <c r="E18">
        <v>417992212</v>
      </c>
      <c r="F18">
        <v>417478079</v>
      </c>
      <c r="G18" t="s">
        <v>26</v>
      </c>
      <c r="H18" t="s">
        <v>27</v>
      </c>
      <c r="I18" t="s">
        <v>28</v>
      </c>
      <c r="J18" s="11">
        <v>43809</v>
      </c>
      <c r="K18" t="s">
        <v>29</v>
      </c>
      <c r="L18" s="11">
        <v>43901</v>
      </c>
      <c r="M18">
        <v>5</v>
      </c>
      <c r="N18" s="12" t="s">
        <v>26</v>
      </c>
      <c r="O18" t="s">
        <v>30</v>
      </c>
      <c r="P18" s="13">
        <v>0.01</v>
      </c>
      <c r="Q18" s="11">
        <v>43901</v>
      </c>
      <c r="R18">
        <f>COUNTIF('#Everything (2)'!B:B, 'Callout sheet'!A18)</f>
        <v>1</v>
      </c>
    </row>
    <row r="19" spans="1:18" x14ac:dyDescent="0.25">
      <c r="A19">
        <v>11712754</v>
      </c>
      <c r="B19" t="s">
        <v>65</v>
      </c>
      <c r="C19" t="s">
        <v>66</v>
      </c>
      <c r="D19" s="10">
        <v>43901.520752314813</v>
      </c>
      <c r="E19">
        <v>439283668</v>
      </c>
      <c r="F19">
        <v>439283668</v>
      </c>
      <c r="G19" t="s">
        <v>26</v>
      </c>
      <c r="H19" t="s">
        <v>27</v>
      </c>
      <c r="I19" t="s">
        <v>28</v>
      </c>
      <c r="J19" s="11">
        <v>43818</v>
      </c>
      <c r="K19" t="s">
        <v>29</v>
      </c>
      <c r="L19" s="11">
        <v>43901</v>
      </c>
      <c r="M19">
        <v>8</v>
      </c>
      <c r="N19" s="12" t="s">
        <v>26</v>
      </c>
      <c r="O19" t="s">
        <v>30</v>
      </c>
      <c r="P19" s="13">
        <v>0.01</v>
      </c>
      <c r="Q19" s="11">
        <v>43901</v>
      </c>
      <c r="R19">
        <f>COUNTIF('#Everything (2)'!B:B, 'Callout sheet'!A19)</f>
        <v>1</v>
      </c>
    </row>
    <row r="20" spans="1:18" x14ac:dyDescent="0.25">
      <c r="A20">
        <v>11542538</v>
      </c>
      <c r="B20" t="s">
        <v>67</v>
      </c>
      <c r="C20" t="s">
        <v>68</v>
      </c>
      <c r="D20" s="10">
        <v>43901.974212962959</v>
      </c>
      <c r="E20">
        <v>357522593</v>
      </c>
      <c r="F20" t="s">
        <v>26</v>
      </c>
      <c r="G20" t="s">
        <v>26</v>
      </c>
      <c r="H20" t="s">
        <v>46</v>
      </c>
      <c r="I20" t="s">
        <v>28</v>
      </c>
      <c r="J20" s="11">
        <v>43809</v>
      </c>
      <c r="K20" t="s">
        <v>29</v>
      </c>
      <c r="L20" s="11">
        <v>43901</v>
      </c>
      <c r="M20">
        <v>25</v>
      </c>
      <c r="N20" s="12" t="s">
        <v>26</v>
      </c>
      <c r="O20" t="s">
        <v>30</v>
      </c>
      <c r="P20" s="13">
        <v>0.01</v>
      </c>
      <c r="Q20" s="11">
        <v>43901</v>
      </c>
      <c r="R20">
        <f>COUNTIF('#Everything (2)'!B:B, 'Callout sheet'!A20)</f>
        <v>1</v>
      </c>
    </row>
    <row r="21" spans="1:18" x14ac:dyDescent="0.25">
      <c r="A21">
        <v>11683076</v>
      </c>
      <c r="B21" t="s">
        <v>69</v>
      </c>
      <c r="C21" t="s">
        <v>70</v>
      </c>
      <c r="D21" s="10">
        <v>43899.459131944444</v>
      </c>
      <c r="E21">
        <v>487572325</v>
      </c>
      <c r="F21">
        <v>487572325</v>
      </c>
      <c r="G21" t="s">
        <v>26</v>
      </c>
      <c r="H21" t="s">
        <v>27</v>
      </c>
      <c r="I21" t="s">
        <v>28</v>
      </c>
      <c r="J21" s="11">
        <v>43809</v>
      </c>
      <c r="K21" t="s">
        <v>33</v>
      </c>
      <c r="L21" s="11">
        <v>43899</v>
      </c>
      <c r="M21">
        <v>5</v>
      </c>
      <c r="N21" s="12" t="s">
        <v>26</v>
      </c>
      <c r="O21" t="s">
        <v>30</v>
      </c>
      <c r="P21" s="13">
        <v>0.01</v>
      </c>
      <c r="Q21" s="11">
        <v>43901</v>
      </c>
      <c r="R21">
        <f>COUNTIF('#Everything (2)'!B:B, 'Callout sheet'!A21)</f>
        <v>1</v>
      </c>
    </row>
    <row r="22" spans="1:18" x14ac:dyDescent="0.25">
      <c r="A22">
        <v>11712892</v>
      </c>
      <c r="B22" t="s">
        <v>71</v>
      </c>
      <c r="C22" t="s">
        <v>72</v>
      </c>
      <c r="D22" s="10">
        <v>43901.72351851852</v>
      </c>
      <c r="E22">
        <v>268861207</v>
      </c>
      <c r="F22">
        <v>419618857</v>
      </c>
      <c r="G22" t="s">
        <v>26</v>
      </c>
      <c r="H22" t="s">
        <v>27</v>
      </c>
      <c r="I22" t="s">
        <v>28</v>
      </c>
      <c r="J22" s="11">
        <v>43838</v>
      </c>
      <c r="K22" t="s">
        <v>33</v>
      </c>
      <c r="L22" s="11">
        <v>43901</v>
      </c>
      <c r="M22">
        <v>7</v>
      </c>
      <c r="N22" s="12" t="s">
        <v>26</v>
      </c>
      <c r="O22" t="s">
        <v>30</v>
      </c>
      <c r="P22" s="13">
        <v>0.01</v>
      </c>
      <c r="Q22" s="11">
        <v>43901</v>
      </c>
      <c r="R22">
        <f>COUNTIF('#Everything (2)'!B:B, 'Callout sheet'!A22)</f>
        <v>1</v>
      </c>
    </row>
    <row r="23" spans="1:18" x14ac:dyDescent="0.25">
      <c r="A23">
        <v>11686827</v>
      </c>
      <c r="B23" t="s">
        <v>73</v>
      </c>
      <c r="C23" t="s">
        <v>74</v>
      </c>
      <c r="D23" s="10">
        <v>43902.345104166663</v>
      </c>
      <c r="E23">
        <v>458760612</v>
      </c>
      <c r="F23">
        <v>458760612</v>
      </c>
      <c r="G23" t="s">
        <v>26</v>
      </c>
      <c r="H23" t="s">
        <v>27</v>
      </c>
      <c r="I23" t="s">
        <v>28</v>
      </c>
      <c r="J23" s="11">
        <v>43809</v>
      </c>
      <c r="K23" t="s">
        <v>29</v>
      </c>
      <c r="L23" s="11">
        <v>43901</v>
      </c>
      <c r="M23">
        <v>17</v>
      </c>
      <c r="N23" s="12" t="s">
        <v>26</v>
      </c>
      <c r="O23" t="s">
        <v>30</v>
      </c>
      <c r="P23" s="13">
        <v>0.01</v>
      </c>
      <c r="Q23" s="11">
        <v>43901</v>
      </c>
      <c r="R23">
        <f>COUNTIF('#Everything (2)'!B:B, 'Callout sheet'!A23)</f>
        <v>2</v>
      </c>
    </row>
    <row r="24" spans="1:18" x14ac:dyDescent="0.25">
      <c r="A24">
        <v>11715651</v>
      </c>
      <c r="B24" t="s">
        <v>75</v>
      </c>
      <c r="C24" t="s">
        <v>35</v>
      </c>
      <c r="D24" s="10">
        <v>43901.497835648152</v>
      </c>
      <c r="E24">
        <v>436464841</v>
      </c>
      <c r="F24" t="s">
        <v>26</v>
      </c>
      <c r="G24" t="s">
        <v>26</v>
      </c>
      <c r="H24" t="s">
        <v>27</v>
      </c>
      <c r="I24" t="s">
        <v>28</v>
      </c>
      <c r="J24" s="11">
        <v>43832</v>
      </c>
      <c r="K24" t="s">
        <v>29</v>
      </c>
      <c r="L24" s="11">
        <v>43901</v>
      </c>
      <c r="M24">
        <v>6</v>
      </c>
      <c r="N24" s="12" t="s">
        <v>26</v>
      </c>
      <c r="O24" t="s">
        <v>30</v>
      </c>
      <c r="P24" s="13">
        <v>0.01</v>
      </c>
      <c r="Q24" s="11">
        <v>43901</v>
      </c>
      <c r="R24">
        <f>COUNTIF('#Everything (2)'!B:B, 'Callout sheet'!A24)</f>
        <v>1</v>
      </c>
    </row>
    <row r="25" spans="1:18" x14ac:dyDescent="0.25">
      <c r="A25">
        <v>11718581</v>
      </c>
      <c r="B25" t="s">
        <v>76</v>
      </c>
      <c r="C25" t="s">
        <v>74</v>
      </c>
      <c r="D25" s="10">
        <v>43901.734664351854</v>
      </c>
      <c r="E25">
        <v>467077120</v>
      </c>
      <c r="F25">
        <v>438542347</v>
      </c>
      <c r="G25" t="s">
        <v>26</v>
      </c>
      <c r="H25" t="s">
        <v>27</v>
      </c>
      <c r="I25" t="s">
        <v>28</v>
      </c>
      <c r="J25" s="11">
        <v>43846</v>
      </c>
      <c r="K25" t="s">
        <v>29</v>
      </c>
      <c r="L25" s="11">
        <v>43901</v>
      </c>
      <c r="M25">
        <v>17</v>
      </c>
      <c r="N25" s="12" t="s">
        <v>26</v>
      </c>
      <c r="O25" t="s">
        <v>30</v>
      </c>
      <c r="P25" s="13">
        <v>0.01</v>
      </c>
      <c r="Q25" s="11">
        <v>43901</v>
      </c>
      <c r="R25">
        <f>COUNTIF('#Everything (2)'!B:B, 'Callout sheet'!A25)</f>
        <v>1</v>
      </c>
    </row>
    <row r="26" spans="1:18" x14ac:dyDescent="0.25">
      <c r="A26">
        <v>11722768</v>
      </c>
      <c r="B26" t="s">
        <v>79</v>
      </c>
      <c r="C26" t="s">
        <v>80</v>
      </c>
      <c r="D26" s="10">
        <v>43901.573576388888</v>
      </c>
      <c r="E26">
        <v>478680743</v>
      </c>
      <c r="F26" t="s">
        <v>26</v>
      </c>
      <c r="G26" t="s">
        <v>81</v>
      </c>
      <c r="H26" t="s">
        <v>27</v>
      </c>
      <c r="I26" t="s">
        <v>82</v>
      </c>
      <c r="J26" s="11">
        <v>43885</v>
      </c>
      <c r="K26" t="s">
        <v>29</v>
      </c>
      <c r="L26" s="11">
        <v>43901</v>
      </c>
      <c r="M26">
        <v>13</v>
      </c>
      <c r="N26" t="s">
        <v>26</v>
      </c>
      <c r="O26" t="s">
        <v>172</v>
      </c>
      <c r="P26" s="13">
        <v>0</v>
      </c>
      <c r="Q26" s="11">
        <v>43901</v>
      </c>
      <c r="R26">
        <f>COUNTIF('#Everything (2)'!B:B, 'Callout sheet'!A26)</f>
        <v>1</v>
      </c>
    </row>
    <row r="27" spans="1:18" x14ac:dyDescent="0.25">
      <c r="A27">
        <v>11722658</v>
      </c>
      <c r="B27" t="s">
        <v>83</v>
      </c>
      <c r="C27" t="s">
        <v>84</v>
      </c>
      <c r="D27" s="10">
        <v>43902.642337962963</v>
      </c>
      <c r="E27">
        <v>407933045</v>
      </c>
      <c r="F27" t="s">
        <v>26</v>
      </c>
      <c r="G27" t="s">
        <v>85</v>
      </c>
      <c r="H27" t="s">
        <v>27</v>
      </c>
      <c r="I27" t="s">
        <v>82</v>
      </c>
      <c r="J27" s="11">
        <v>43882</v>
      </c>
      <c r="K27" t="s">
        <v>29</v>
      </c>
      <c r="L27" s="11">
        <v>43901</v>
      </c>
      <c r="M27">
        <v>20</v>
      </c>
      <c r="N27" t="s">
        <v>26</v>
      </c>
      <c r="O27" t="s">
        <v>172</v>
      </c>
      <c r="P27" s="13">
        <v>0</v>
      </c>
      <c r="Q27" s="11">
        <v>43901</v>
      </c>
      <c r="R27">
        <f>COUNTIF('#Everything (2)'!B:B, 'Callout sheet'!A27)</f>
        <v>1</v>
      </c>
    </row>
    <row r="28" spans="1:18" x14ac:dyDescent="0.25">
      <c r="A28">
        <v>11566947</v>
      </c>
      <c r="B28" t="s">
        <v>86</v>
      </c>
      <c r="C28" t="s">
        <v>87</v>
      </c>
      <c r="D28" s="10">
        <v>43902.2659375</v>
      </c>
      <c r="E28">
        <v>393708450</v>
      </c>
      <c r="F28" t="s">
        <v>26</v>
      </c>
      <c r="G28" t="s">
        <v>88</v>
      </c>
      <c r="H28" t="s">
        <v>46</v>
      </c>
      <c r="I28" t="s">
        <v>82</v>
      </c>
      <c r="J28" s="11">
        <v>43882</v>
      </c>
      <c r="K28" t="s">
        <v>29</v>
      </c>
      <c r="L28" s="11">
        <v>43901</v>
      </c>
      <c r="M28">
        <v>16</v>
      </c>
      <c r="N28">
        <v>1</v>
      </c>
      <c r="O28" t="s">
        <v>172</v>
      </c>
      <c r="P28" s="13">
        <v>0</v>
      </c>
      <c r="Q28" s="11">
        <v>43901</v>
      </c>
      <c r="R28">
        <f>COUNTIF('#Everything (2)'!B:B, 'Callout sheet'!A28)</f>
        <v>1</v>
      </c>
    </row>
    <row r="29" spans="1:18" x14ac:dyDescent="0.25">
      <c r="A29">
        <v>11395142</v>
      </c>
      <c r="B29" t="s">
        <v>89</v>
      </c>
      <c r="C29" t="s">
        <v>90</v>
      </c>
      <c r="D29" s="10">
        <v>43902.497893518521</v>
      </c>
      <c r="E29">
        <v>400344351</v>
      </c>
      <c r="F29" t="s">
        <v>26</v>
      </c>
      <c r="G29" t="s">
        <v>91</v>
      </c>
      <c r="H29" t="s">
        <v>27</v>
      </c>
      <c r="I29" t="s">
        <v>82</v>
      </c>
      <c r="J29" s="11">
        <v>43879</v>
      </c>
      <c r="K29" t="s">
        <v>29</v>
      </c>
      <c r="L29" s="11">
        <v>43901</v>
      </c>
      <c r="M29">
        <v>14</v>
      </c>
      <c r="N29" t="s">
        <v>26</v>
      </c>
      <c r="O29" t="s">
        <v>172</v>
      </c>
      <c r="P29" s="13">
        <v>0</v>
      </c>
      <c r="Q29" s="11">
        <v>43901</v>
      </c>
      <c r="R29">
        <f>COUNTIF('#Everything (2)'!B:B, 'Callout sheet'!A29)</f>
        <v>1</v>
      </c>
    </row>
    <row r="30" spans="1:18" x14ac:dyDescent="0.25">
      <c r="A30">
        <v>11682257</v>
      </c>
      <c r="B30" t="s">
        <v>92</v>
      </c>
      <c r="C30" t="s">
        <v>93</v>
      </c>
      <c r="D30" s="10">
        <v>43902.427048611113</v>
      </c>
      <c r="E30">
        <v>487865049</v>
      </c>
      <c r="F30">
        <v>487865049</v>
      </c>
      <c r="G30" t="s">
        <v>81</v>
      </c>
      <c r="H30" t="s">
        <v>27</v>
      </c>
      <c r="I30" t="s">
        <v>82</v>
      </c>
      <c r="J30" s="11">
        <v>43873</v>
      </c>
      <c r="K30" t="s">
        <v>29</v>
      </c>
      <c r="L30" s="11">
        <v>43900</v>
      </c>
      <c r="M30">
        <v>11</v>
      </c>
      <c r="N30" t="s">
        <v>26</v>
      </c>
      <c r="O30" t="s">
        <v>172</v>
      </c>
      <c r="P30" s="13">
        <v>0</v>
      </c>
      <c r="Q30" s="11">
        <v>43901</v>
      </c>
      <c r="R30">
        <f>COUNTIF('#Everything (2)'!B:B, 'Callout sheet'!A30)</f>
        <v>1</v>
      </c>
    </row>
    <row r="31" spans="1:18" x14ac:dyDescent="0.25">
      <c r="A31">
        <v>11718484</v>
      </c>
      <c r="B31" t="s">
        <v>94</v>
      </c>
      <c r="C31" t="s">
        <v>95</v>
      </c>
      <c r="D31" s="10">
        <v>43901.899212962962</v>
      </c>
      <c r="E31">
        <v>403329760</v>
      </c>
      <c r="F31" t="s">
        <v>26</v>
      </c>
      <c r="G31" t="s">
        <v>81</v>
      </c>
      <c r="H31" t="s">
        <v>27</v>
      </c>
      <c r="I31" t="s">
        <v>82</v>
      </c>
      <c r="J31" s="11">
        <v>43873</v>
      </c>
      <c r="K31" t="s">
        <v>29</v>
      </c>
      <c r="L31" s="11">
        <v>43901</v>
      </c>
      <c r="M31">
        <v>20</v>
      </c>
      <c r="N31" t="s">
        <v>26</v>
      </c>
      <c r="O31" t="s">
        <v>172</v>
      </c>
      <c r="P31" s="13">
        <v>0</v>
      </c>
      <c r="Q31" s="11">
        <v>43901</v>
      </c>
      <c r="R31">
        <f>COUNTIF('#Everything (2)'!B:B, 'Callout sheet'!A31)</f>
        <v>1</v>
      </c>
    </row>
    <row r="32" spans="1:18" x14ac:dyDescent="0.25">
      <c r="A32">
        <v>11705255</v>
      </c>
      <c r="B32" t="s">
        <v>96</v>
      </c>
      <c r="C32" t="s">
        <v>97</v>
      </c>
      <c r="D32" s="10">
        <v>43902.412476851852</v>
      </c>
      <c r="E32">
        <v>449021083</v>
      </c>
      <c r="F32" t="s">
        <v>26</v>
      </c>
      <c r="G32" t="s">
        <v>85</v>
      </c>
      <c r="H32" t="s">
        <v>46</v>
      </c>
      <c r="I32" t="s">
        <v>82</v>
      </c>
      <c r="J32" s="11">
        <v>43864</v>
      </c>
      <c r="K32" t="s">
        <v>29</v>
      </c>
      <c r="L32" s="11">
        <v>43901</v>
      </c>
      <c r="M32">
        <v>27</v>
      </c>
      <c r="N32" t="s">
        <v>26</v>
      </c>
      <c r="O32" t="s">
        <v>172</v>
      </c>
      <c r="P32" s="13">
        <v>0</v>
      </c>
      <c r="Q32" s="11">
        <v>43901</v>
      </c>
      <c r="R32">
        <f>COUNTIF('#Everything (2)'!B:B, 'Callout sheet'!A32)</f>
        <v>1</v>
      </c>
    </row>
    <row r="33" spans="1:18" x14ac:dyDescent="0.25">
      <c r="A33">
        <v>11709434</v>
      </c>
      <c r="B33" t="s">
        <v>98</v>
      </c>
      <c r="C33" t="s">
        <v>99</v>
      </c>
      <c r="D33" s="10">
        <v>43901.919351851851</v>
      </c>
      <c r="E33">
        <v>439037890</v>
      </c>
      <c r="F33">
        <v>408550459</v>
      </c>
      <c r="G33" t="s">
        <v>81</v>
      </c>
      <c r="H33" t="s">
        <v>27</v>
      </c>
      <c r="I33" t="s">
        <v>82</v>
      </c>
      <c r="J33" s="11">
        <v>43864</v>
      </c>
      <c r="K33" t="s">
        <v>29</v>
      </c>
      <c r="L33" s="11">
        <v>43901</v>
      </c>
      <c r="M33">
        <v>15</v>
      </c>
      <c r="N33" t="s">
        <v>26</v>
      </c>
      <c r="O33" t="s">
        <v>172</v>
      </c>
      <c r="P33" s="13">
        <v>0</v>
      </c>
      <c r="Q33" s="11">
        <v>43901</v>
      </c>
      <c r="R33">
        <f>COUNTIF('#Everything (2)'!B:B, 'Callout sheet'!A33)</f>
        <v>1</v>
      </c>
    </row>
    <row r="34" spans="1:18" x14ac:dyDescent="0.25">
      <c r="A34">
        <v>11377151</v>
      </c>
      <c r="B34" t="s">
        <v>100</v>
      </c>
      <c r="C34" t="s">
        <v>101</v>
      </c>
      <c r="D34" s="10">
        <v>43902.560381944444</v>
      </c>
      <c r="E34">
        <v>425810451</v>
      </c>
      <c r="F34" t="s">
        <v>26</v>
      </c>
      <c r="G34" t="s">
        <v>85</v>
      </c>
      <c r="H34" t="s">
        <v>27</v>
      </c>
      <c r="I34" t="s">
        <v>82</v>
      </c>
      <c r="J34" s="11">
        <v>43858</v>
      </c>
      <c r="K34" t="s">
        <v>29</v>
      </c>
      <c r="L34" s="11">
        <v>43900</v>
      </c>
      <c r="M34">
        <v>15</v>
      </c>
      <c r="N34" t="s">
        <v>26</v>
      </c>
      <c r="O34" t="s">
        <v>172</v>
      </c>
      <c r="P34" s="13">
        <v>0</v>
      </c>
      <c r="Q34" s="11">
        <v>43901</v>
      </c>
      <c r="R34">
        <f>COUNTIF('#Everything (2)'!B:B, 'Callout sheet'!A34)</f>
        <v>1</v>
      </c>
    </row>
    <row r="35" spans="1:18" x14ac:dyDescent="0.25">
      <c r="A35">
        <v>11718542</v>
      </c>
      <c r="B35" t="s">
        <v>102</v>
      </c>
      <c r="C35" t="s">
        <v>103</v>
      </c>
      <c r="D35" s="10">
        <v>43901.706192129626</v>
      </c>
      <c r="E35">
        <v>411573439</v>
      </c>
      <c r="F35">
        <v>411573439</v>
      </c>
      <c r="G35" t="s">
        <v>104</v>
      </c>
      <c r="H35" t="s">
        <v>27</v>
      </c>
      <c r="I35" t="s">
        <v>82</v>
      </c>
      <c r="J35" s="11">
        <v>43847</v>
      </c>
      <c r="K35" t="s">
        <v>29</v>
      </c>
      <c r="L35" s="11">
        <v>43901</v>
      </c>
      <c r="M35">
        <v>18</v>
      </c>
      <c r="N35" t="s">
        <v>26</v>
      </c>
      <c r="O35" t="s">
        <v>172</v>
      </c>
      <c r="P35" s="13">
        <v>0</v>
      </c>
      <c r="Q35" s="11">
        <v>43901</v>
      </c>
      <c r="R35">
        <f>COUNTIF('#Everything (2)'!B:B, 'Callout sheet'!A35)</f>
        <v>1</v>
      </c>
    </row>
    <row r="36" spans="1:18" x14ac:dyDescent="0.25">
      <c r="A36">
        <v>11717580</v>
      </c>
      <c r="B36" t="s">
        <v>105</v>
      </c>
      <c r="C36" t="s">
        <v>106</v>
      </c>
      <c r="D36" s="10">
        <v>43902.379143518519</v>
      </c>
      <c r="E36">
        <v>417222145</v>
      </c>
      <c r="F36" t="s">
        <v>26</v>
      </c>
      <c r="G36" t="s">
        <v>104</v>
      </c>
      <c r="H36" t="s">
        <v>27</v>
      </c>
      <c r="I36" t="s">
        <v>82</v>
      </c>
      <c r="J36" s="11">
        <v>43847</v>
      </c>
      <c r="K36" t="s">
        <v>29</v>
      </c>
      <c r="L36" s="11">
        <v>43900</v>
      </c>
      <c r="M36">
        <v>10</v>
      </c>
      <c r="N36" t="s">
        <v>26</v>
      </c>
      <c r="O36" t="s">
        <v>172</v>
      </c>
      <c r="P36" s="13">
        <v>0</v>
      </c>
      <c r="Q36" s="11">
        <v>43901</v>
      </c>
      <c r="R36">
        <f>COUNTIF('#Everything (2)'!B:B, 'Callout sheet'!A36)</f>
        <v>1</v>
      </c>
    </row>
    <row r="37" spans="1:18" x14ac:dyDescent="0.25">
      <c r="A37">
        <v>11586420</v>
      </c>
      <c r="B37" t="s">
        <v>107</v>
      </c>
      <c r="C37" t="s">
        <v>108</v>
      </c>
      <c r="D37" s="10">
        <v>43900.503194444442</v>
      </c>
      <c r="E37">
        <v>422927509</v>
      </c>
      <c r="F37">
        <v>422927509</v>
      </c>
      <c r="G37" t="s">
        <v>81</v>
      </c>
      <c r="H37" t="s">
        <v>27</v>
      </c>
      <c r="I37" t="s">
        <v>82</v>
      </c>
      <c r="J37" s="11">
        <v>43845</v>
      </c>
      <c r="K37" t="s">
        <v>29</v>
      </c>
      <c r="L37" s="11">
        <v>43900</v>
      </c>
      <c r="M37">
        <v>4</v>
      </c>
      <c r="N37" t="s">
        <v>26</v>
      </c>
      <c r="O37" t="s">
        <v>172</v>
      </c>
      <c r="P37" s="13">
        <v>0</v>
      </c>
      <c r="Q37" s="11">
        <v>43901</v>
      </c>
      <c r="R37">
        <f>COUNTIF('#Everything (2)'!B:B, 'Callout sheet'!A37)</f>
        <v>1</v>
      </c>
    </row>
    <row r="38" spans="1:18" x14ac:dyDescent="0.25">
      <c r="A38">
        <v>11718506</v>
      </c>
      <c r="B38" t="s">
        <v>109</v>
      </c>
      <c r="C38" t="s">
        <v>110</v>
      </c>
      <c r="D38" s="10">
        <v>43902.306909722225</v>
      </c>
      <c r="E38">
        <v>484238308</v>
      </c>
      <c r="F38" t="s">
        <v>26</v>
      </c>
      <c r="G38" t="s">
        <v>104</v>
      </c>
      <c r="H38" t="s">
        <v>27</v>
      </c>
      <c r="I38" t="s">
        <v>82</v>
      </c>
      <c r="J38" s="11">
        <v>43845</v>
      </c>
      <c r="K38" t="s">
        <v>29</v>
      </c>
      <c r="L38" s="11">
        <v>43901</v>
      </c>
      <c r="M38">
        <v>12</v>
      </c>
      <c r="N38" t="s">
        <v>26</v>
      </c>
      <c r="O38" t="s">
        <v>172</v>
      </c>
      <c r="P38" s="13">
        <v>0</v>
      </c>
      <c r="Q38" s="11">
        <v>43901</v>
      </c>
      <c r="R38">
        <f>COUNTIF('#Everything (2)'!B:B, 'Callout sheet'!A38)</f>
        <v>1</v>
      </c>
    </row>
    <row r="39" spans="1:18" x14ac:dyDescent="0.25">
      <c r="A39">
        <v>11718541</v>
      </c>
      <c r="B39" t="s">
        <v>102</v>
      </c>
      <c r="C39" t="s">
        <v>111</v>
      </c>
      <c r="D39" s="10">
        <v>43901.621435185189</v>
      </c>
      <c r="E39">
        <v>475554131</v>
      </c>
      <c r="F39" t="s">
        <v>26</v>
      </c>
      <c r="G39" t="s">
        <v>81</v>
      </c>
      <c r="H39" t="s">
        <v>27</v>
      </c>
      <c r="I39" t="s">
        <v>82</v>
      </c>
      <c r="J39" s="11">
        <v>43845</v>
      </c>
      <c r="K39" t="s">
        <v>29</v>
      </c>
      <c r="L39" s="11">
        <v>43901</v>
      </c>
      <c r="M39">
        <v>5</v>
      </c>
      <c r="N39" t="s">
        <v>26</v>
      </c>
      <c r="O39" t="s">
        <v>172</v>
      </c>
      <c r="P39" s="13">
        <v>0</v>
      </c>
      <c r="Q39" s="11">
        <v>43901</v>
      </c>
      <c r="R39">
        <f>COUNTIF('#Everything (2)'!B:B, 'Callout sheet'!A39)</f>
        <v>1</v>
      </c>
    </row>
    <row r="40" spans="1:18" x14ac:dyDescent="0.25">
      <c r="A40">
        <v>11712691</v>
      </c>
      <c r="B40" t="s">
        <v>112</v>
      </c>
      <c r="C40" t="s">
        <v>113</v>
      </c>
      <c r="D40" s="10">
        <v>43899.664212962962</v>
      </c>
      <c r="E40">
        <v>269483818</v>
      </c>
      <c r="F40">
        <v>455313830</v>
      </c>
      <c r="G40" t="s">
        <v>85</v>
      </c>
      <c r="H40" t="s">
        <v>27</v>
      </c>
      <c r="I40" t="s">
        <v>82</v>
      </c>
      <c r="J40" s="11">
        <v>43836</v>
      </c>
      <c r="K40" t="s">
        <v>29</v>
      </c>
      <c r="L40" s="11">
        <v>43899</v>
      </c>
      <c r="M40">
        <v>13</v>
      </c>
      <c r="N40" t="s">
        <v>26</v>
      </c>
      <c r="O40" t="s">
        <v>172</v>
      </c>
      <c r="P40" s="13">
        <v>0</v>
      </c>
      <c r="Q40" s="11">
        <v>43901</v>
      </c>
      <c r="R40">
        <f>COUNTIF('#Everything (2)'!B:B, 'Callout sheet'!A40)</f>
        <v>1</v>
      </c>
    </row>
    <row r="41" spans="1:18" x14ac:dyDescent="0.25">
      <c r="A41">
        <v>11712377</v>
      </c>
      <c r="B41" t="s">
        <v>114</v>
      </c>
      <c r="C41" t="s">
        <v>115</v>
      </c>
      <c r="D41" s="10">
        <v>43900.741111111114</v>
      </c>
      <c r="E41">
        <v>411214381</v>
      </c>
      <c r="F41" t="s">
        <v>26</v>
      </c>
      <c r="G41" t="s">
        <v>85</v>
      </c>
      <c r="H41" t="s">
        <v>27</v>
      </c>
      <c r="I41" t="s">
        <v>82</v>
      </c>
      <c r="J41" s="11">
        <v>43832</v>
      </c>
      <c r="K41" t="s">
        <v>29</v>
      </c>
      <c r="L41" s="11">
        <v>43900</v>
      </c>
      <c r="M41">
        <v>13</v>
      </c>
      <c r="N41" t="s">
        <v>26</v>
      </c>
      <c r="O41" t="s">
        <v>172</v>
      </c>
      <c r="P41" s="13">
        <v>0</v>
      </c>
      <c r="Q41" s="11">
        <v>43901</v>
      </c>
      <c r="R41">
        <f>COUNTIF('#Everything (2)'!B:B, 'Callout sheet'!A41)</f>
        <v>1</v>
      </c>
    </row>
    <row r="42" spans="1:18" x14ac:dyDescent="0.25">
      <c r="A42">
        <v>11715452</v>
      </c>
      <c r="B42" t="s">
        <v>116</v>
      </c>
      <c r="C42" t="s">
        <v>117</v>
      </c>
      <c r="D42" s="10">
        <v>43901.904791666668</v>
      </c>
      <c r="E42">
        <v>412668933</v>
      </c>
      <c r="F42" t="s">
        <v>26</v>
      </c>
      <c r="G42" t="s">
        <v>85</v>
      </c>
      <c r="H42" t="s">
        <v>27</v>
      </c>
      <c r="I42" t="s">
        <v>82</v>
      </c>
      <c r="J42" s="11">
        <v>43825</v>
      </c>
      <c r="K42" t="s">
        <v>29</v>
      </c>
      <c r="L42" s="11">
        <v>43901</v>
      </c>
      <c r="M42">
        <v>15</v>
      </c>
      <c r="N42" t="s">
        <v>26</v>
      </c>
      <c r="O42" t="s">
        <v>172</v>
      </c>
      <c r="P42" s="13">
        <v>0</v>
      </c>
      <c r="Q42" s="11">
        <v>43901</v>
      </c>
      <c r="R42">
        <f>COUNTIF('#Everything (2)'!B:B, 'Callout sheet'!A42)</f>
        <v>1</v>
      </c>
    </row>
    <row r="43" spans="1:18" x14ac:dyDescent="0.25">
      <c r="A43">
        <v>11697522</v>
      </c>
      <c r="B43" t="s">
        <v>118</v>
      </c>
      <c r="C43" t="s">
        <v>119</v>
      </c>
      <c r="D43" s="10">
        <v>43902.642337962963</v>
      </c>
      <c r="E43">
        <v>481060653</v>
      </c>
      <c r="F43">
        <v>429672295</v>
      </c>
      <c r="G43" t="s">
        <v>81</v>
      </c>
      <c r="H43" t="s">
        <v>27</v>
      </c>
      <c r="I43" t="s">
        <v>82</v>
      </c>
      <c r="J43" s="11">
        <v>43822</v>
      </c>
      <c r="K43" t="s">
        <v>33</v>
      </c>
      <c r="L43" s="11">
        <v>43901</v>
      </c>
      <c r="M43">
        <v>13</v>
      </c>
      <c r="N43" t="s">
        <v>26</v>
      </c>
      <c r="O43" t="s">
        <v>172</v>
      </c>
      <c r="P43" s="13">
        <v>0</v>
      </c>
      <c r="Q43" s="11">
        <v>43901</v>
      </c>
      <c r="R43">
        <f>COUNTIF('#Everything (2)'!B:B, 'Callout sheet'!A43)</f>
        <v>1</v>
      </c>
    </row>
    <row r="44" spans="1:18" x14ac:dyDescent="0.25">
      <c r="A44">
        <v>11716732</v>
      </c>
      <c r="B44" t="s">
        <v>120</v>
      </c>
      <c r="C44" t="s">
        <v>121</v>
      </c>
      <c r="D44" s="10">
        <v>43902.433298611111</v>
      </c>
      <c r="E44">
        <v>468332166</v>
      </c>
      <c r="F44">
        <v>468332166</v>
      </c>
      <c r="G44" t="s">
        <v>81</v>
      </c>
      <c r="H44" t="s">
        <v>27</v>
      </c>
      <c r="I44" t="s">
        <v>82</v>
      </c>
      <c r="J44" s="11">
        <v>43822</v>
      </c>
      <c r="K44" t="s">
        <v>29</v>
      </c>
      <c r="L44" s="11">
        <v>43901</v>
      </c>
      <c r="M44">
        <v>21</v>
      </c>
      <c r="N44" t="s">
        <v>26</v>
      </c>
      <c r="O44" t="s">
        <v>172</v>
      </c>
      <c r="P44" s="13">
        <v>0</v>
      </c>
      <c r="Q44" s="11">
        <v>43901</v>
      </c>
      <c r="R44">
        <f>COUNTIF('#Everything (2)'!B:B, 'Callout sheet'!A44)</f>
        <v>1</v>
      </c>
    </row>
    <row r="45" spans="1:18" x14ac:dyDescent="0.25">
      <c r="A45">
        <v>11712820</v>
      </c>
      <c r="B45" t="s">
        <v>122</v>
      </c>
      <c r="C45" t="s">
        <v>123</v>
      </c>
      <c r="D45" s="10">
        <v>43902.302754629629</v>
      </c>
      <c r="E45">
        <v>414650970</v>
      </c>
      <c r="F45">
        <v>414650970</v>
      </c>
      <c r="G45" t="s">
        <v>85</v>
      </c>
      <c r="H45" t="s">
        <v>27</v>
      </c>
      <c r="I45" t="s">
        <v>82</v>
      </c>
      <c r="J45" s="11">
        <v>43822</v>
      </c>
      <c r="K45" t="s">
        <v>29</v>
      </c>
      <c r="L45" s="11">
        <v>43901</v>
      </c>
      <c r="M45">
        <v>18</v>
      </c>
      <c r="N45" t="s">
        <v>26</v>
      </c>
      <c r="O45" t="s">
        <v>172</v>
      </c>
      <c r="P45" s="13">
        <v>0</v>
      </c>
      <c r="Q45" s="11">
        <v>43901</v>
      </c>
      <c r="R45">
        <f>COUNTIF('#Everything (2)'!B:B, 'Callout sheet'!A45)</f>
        <v>1</v>
      </c>
    </row>
    <row r="46" spans="1:18" x14ac:dyDescent="0.25">
      <c r="A46">
        <v>11572445</v>
      </c>
      <c r="B46" t="s">
        <v>124</v>
      </c>
      <c r="C46" t="s">
        <v>125</v>
      </c>
      <c r="D46" s="10">
        <v>43902.62358796296</v>
      </c>
      <c r="E46">
        <v>481975957</v>
      </c>
      <c r="F46" t="s">
        <v>26</v>
      </c>
      <c r="G46" t="s">
        <v>81</v>
      </c>
      <c r="H46" t="s">
        <v>27</v>
      </c>
      <c r="I46" t="s">
        <v>82</v>
      </c>
      <c r="J46" s="11">
        <v>43815</v>
      </c>
      <c r="K46" t="s">
        <v>29</v>
      </c>
      <c r="L46" s="11">
        <v>43901</v>
      </c>
      <c r="M46">
        <v>24</v>
      </c>
      <c r="N46" t="s">
        <v>26</v>
      </c>
      <c r="O46" t="s">
        <v>172</v>
      </c>
      <c r="P46" s="13">
        <v>0</v>
      </c>
      <c r="Q46" s="11">
        <v>43901</v>
      </c>
      <c r="R46">
        <f>COUNTIF('#Everything (2)'!B:B, 'Callout sheet'!A46)</f>
        <v>1</v>
      </c>
    </row>
    <row r="47" spans="1:18" x14ac:dyDescent="0.25">
      <c r="A47">
        <v>11628789</v>
      </c>
      <c r="B47" t="s">
        <v>126</v>
      </c>
      <c r="C47" t="s">
        <v>127</v>
      </c>
      <c r="D47" s="10">
        <v>43901.513136574074</v>
      </c>
      <c r="E47">
        <v>431564146</v>
      </c>
      <c r="F47">
        <v>431564146</v>
      </c>
      <c r="G47" t="s">
        <v>104</v>
      </c>
      <c r="H47" t="s">
        <v>27</v>
      </c>
      <c r="I47" t="s">
        <v>82</v>
      </c>
      <c r="J47" s="11">
        <v>43809</v>
      </c>
      <c r="K47" t="s">
        <v>29</v>
      </c>
      <c r="L47" s="11">
        <v>43901</v>
      </c>
      <c r="M47">
        <v>21</v>
      </c>
      <c r="N47" t="s">
        <v>26</v>
      </c>
      <c r="O47" t="s">
        <v>172</v>
      </c>
      <c r="P47" s="13">
        <v>0</v>
      </c>
      <c r="Q47" s="11">
        <v>43901</v>
      </c>
      <c r="R47">
        <f>COUNTIF('#Everything (2)'!B:B, 'Callout sheet'!A47)</f>
        <v>1</v>
      </c>
    </row>
    <row r="48" spans="1:18" x14ac:dyDescent="0.25">
      <c r="A48">
        <v>11713973</v>
      </c>
      <c r="B48" t="s">
        <v>128</v>
      </c>
      <c r="C48" t="s">
        <v>129</v>
      </c>
      <c r="D48" s="10">
        <v>43902.668032407404</v>
      </c>
      <c r="E48">
        <v>427353490</v>
      </c>
      <c r="F48" t="s">
        <v>26</v>
      </c>
      <c r="G48" t="s">
        <v>85</v>
      </c>
      <c r="H48" t="s">
        <v>27</v>
      </c>
      <c r="I48" t="s">
        <v>82</v>
      </c>
      <c r="J48" s="11">
        <v>43809</v>
      </c>
      <c r="K48" t="s">
        <v>29</v>
      </c>
      <c r="L48" s="11">
        <v>43901</v>
      </c>
      <c r="M48">
        <v>42</v>
      </c>
      <c r="N48" t="s">
        <v>26</v>
      </c>
      <c r="O48" t="s">
        <v>172</v>
      </c>
      <c r="P48" s="13">
        <v>0</v>
      </c>
      <c r="Q48" s="11">
        <v>43901</v>
      </c>
      <c r="R48">
        <f>COUNTIF('#Everything (2)'!B:B, 'Callout sheet'!A48)</f>
        <v>1</v>
      </c>
    </row>
    <row r="49" spans="1:18" x14ac:dyDescent="0.25">
      <c r="A49">
        <v>11683022</v>
      </c>
      <c r="B49" t="s">
        <v>130</v>
      </c>
      <c r="C49" t="s">
        <v>43</v>
      </c>
      <c r="D49" s="10">
        <v>43902.522187499999</v>
      </c>
      <c r="E49">
        <v>488674810</v>
      </c>
      <c r="F49">
        <v>63431911</v>
      </c>
      <c r="G49" t="s">
        <v>85</v>
      </c>
      <c r="H49" t="s">
        <v>27</v>
      </c>
      <c r="I49" t="s">
        <v>82</v>
      </c>
      <c r="J49" s="11">
        <v>43809</v>
      </c>
      <c r="K49" t="s">
        <v>29</v>
      </c>
      <c r="L49" s="11">
        <v>43901</v>
      </c>
      <c r="M49">
        <v>15</v>
      </c>
      <c r="N49" t="s">
        <v>26</v>
      </c>
      <c r="O49" t="s">
        <v>172</v>
      </c>
      <c r="P49" s="13">
        <v>0</v>
      </c>
      <c r="Q49" s="11">
        <v>43901</v>
      </c>
      <c r="R49">
        <f>COUNTIF('#Everything (2)'!B:B, 'Callout sheet'!A49)</f>
        <v>1</v>
      </c>
    </row>
    <row r="50" spans="1:18" x14ac:dyDescent="0.25">
      <c r="A50">
        <v>11546087</v>
      </c>
      <c r="B50" t="s">
        <v>131</v>
      </c>
      <c r="C50" t="s">
        <v>132</v>
      </c>
      <c r="D50" s="10">
        <v>43900.854895833334</v>
      </c>
      <c r="E50">
        <v>475267426</v>
      </c>
      <c r="F50">
        <v>475267426</v>
      </c>
      <c r="G50" t="s">
        <v>85</v>
      </c>
      <c r="H50" t="s">
        <v>46</v>
      </c>
      <c r="I50" t="s">
        <v>82</v>
      </c>
      <c r="J50" s="11">
        <v>43809</v>
      </c>
      <c r="K50" t="s">
        <v>29</v>
      </c>
      <c r="L50" s="11">
        <v>43900</v>
      </c>
      <c r="M50">
        <v>14</v>
      </c>
      <c r="N50" t="s">
        <v>26</v>
      </c>
      <c r="O50" t="s">
        <v>172</v>
      </c>
      <c r="P50" s="13">
        <v>0</v>
      </c>
      <c r="Q50" s="11">
        <v>43901</v>
      </c>
      <c r="R50">
        <f>COUNTIF('#Everything (2)'!B:B, 'Callout sheet'!A50)</f>
        <v>1</v>
      </c>
    </row>
    <row r="51" spans="1:18" x14ac:dyDescent="0.25">
      <c r="A51">
        <v>11663929</v>
      </c>
      <c r="B51" t="s">
        <v>133</v>
      </c>
      <c r="C51" t="s">
        <v>134</v>
      </c>
      <c r="D51" s="10">
        <v>43901.930509259262</v>
      </c>
      <c r="E51">
        <v>458689578</v>
      </c>
      <c r="F51">
        <v>458689578</v>
      </c>
      <c r="G51" t="s">
        <v>81</v>
      </c>
      <c r="H51" t="s">
        <v>27</v>
      </c>
      <c r="I51" t="s">
        <v>82</v>
      </c>
      <c r="J51" s="11">
        <v>43809</v>
      </c>
      <c r="K51" t="s">
        <v>29</v>
      </c>
      <c r="L51" s="11">
        <v>43901</v>
      </c>
      <c r="M51">
        <v>9</v>
      </c>
      <c r="N51" t="s">
        <v>26</v>
      </c>
      <c r="O51" t="s">
        <v>172</v>
      </c>
      <c r="P51" s="13">
        <v>0</v>
      </c>
      <c r="Q51" s="11">
        <v>43901</v>
      </c>
      <c r="R51">
        <f>COUNTIF('#Everything (2)'!B:B, 'Callout sheet'!A51)</f>
        <v>1</v>
      </c>
    </row>
    <row r="52" spans="1:18" x14ac:dyDescent="0.25">
      <c r="A52">
        <v>11712465</v>
      </c>
      <c r="B52" t="s">
        <v>135</v>
      </c>
      <c r="C52" t="s">
        <v>136</v>
      </c>
      <c r="D52" s="10">
        <v>43900.474583333336</v>
      </c>
      <c r="E52">
        <v>466594679</v>
      </c>
      <c r="F52">
        <v>466594679</v>
      </c>
      <c r="G52" t="s">
        <v>104</v>
      </c>
      <c r="H52" t="s">
        <v>27</v>
      </c>
      <c r="I52" t="s">
        <v>82</v>
      </c>
      <c r="J52" s="11">
        <v>43809</v>
      </c>
      <c r="K52" t="s">
        <v>29</v>
      </c>
      <c r="L52" s="11">
        <v>43900</v>
      </c>
      <c r="M52">
        <v>9</v>
      </c>
      <c r="N52" t="s">
        <v>26</v>
      </c>
      <c r="O52" t="s">
        <v>172</v>
      </c>
      <c r="P52" s="13">
        <v>0</v>
      </c>
      <c r="Q52" s="11">
        <v>43901</v>
      </c>
      <c r="R52">
        <f>COUNTIF('#Everything (2)'!B:B, 'Callout sheet'!A52)</f>
        <v>1</v>
      </c>
    </row>
    <row r="53" spans="1:18" x14ac:dyDescent="0.25">
      <c r="A53">
        <v>11712180</v>
      </c>
      <c r="B53" t="s">
        <v>137</v>
      </c>
      <c r="C53" t="s">
        <v>138</v>
      </c>
      <c r="D53" s="10">
        <v>43902.5159375</v>
      </c>
      <c r="E53">
        <v>490960300</v>
      </c>
      <c r="F53">
        <v>490960300</v>
      </c>
      <c r="G53" t="s">
        <v>85</v>
      </c>
      <c r="H53" t="s">
        <v>27</v>
      </c>
      <c r="I53" t="s">
        <v>82</v>
      </c>
      <c r="J53" s="11">
        <v>43809</v>
      </c>
      <c r="K53" t="s">
        <v>29</v>
      </c>
      <c r="L53" s="11">
        <v>43901</v>
      </c>
      <c r="M53">
        <v>14</v>
      </c>
      <c r="N53" t="s">
        <v>26</v>
      </c>
      <c r="O53" t="s">
        <v>172</v>
      </c>
      <c r="P53" s="13">
        <v>0</v>
      </c>
      <c r="Q53" s="11">
        <v>43901</v>
      </c>
      <c r="R53">
        <f>COUNTIF('#Everything (2)'!B:B, 'Callout sheet'!A53)</f>
        <v>1</v>
      </c>
    </row>
    <row r="54" spans="1:18" x14ac:dyDescent="0.25">
      <c r="A54">
        <v>11711887</v>
      </c>
      <c r="B54" t="s">
        <v>139</v>
      </c>
      <c r="C54" t="s">
        <v>110</v>
      </c>
      <c r="D54" s="10">
        <v>43900.83221064815</v>
      </c>
      <c r="E54">
        <v>479017497</v>
      </c>
      <c r="F54" t="s">
        <v>26</v>
      </c>
      <c r="G54" t="s">
        <v>85</v>
      </c>
      <c r="H54" t="s">
        <v>27</v>
      </c>
      <c r="I54" t="s">
        <v>82</v>
      </c>
      <c r="J54" s="11">
        <v>43809</v>
      </c>
      <c r="K54" t="s">
        <v>29</v>
      </c>
      <c r="L54" s="11">
        <v>43900</v>
      </c>
      <c r="M54">
        <v>12</v>
      </c>
      <c r="N54" t="s">
        <v>26</v>
      </c>
      <c r="O54" t="s">
        <v>172</v>
      </c>
      <c r="P54" s="13">
        <v>0</v>
      </c>
      <c r="Q54" s="11">
        <v>43901</v>
      </c>
      <c r="R54">
        <f>COUNTIF('#Everything (2)'!B:B, 'Callout sheet'!A54)</f>
        <v>1</v>
      </c>
    </row>
    <row r="55" spans="1:18" x14ac:dyDescent="0.25">
      <c r="A55">
        <v>11690680</v>
      </c>
      <c r="B55" t="s">
        <v>140</v>
      </c>
      <c r="C55" t="s">
        <v>141</v>
      </c>
      <c r="D55" s="10">
        <v>43901.686018518521</v>
      </c>
      <c r="E55">
        <v>457280431</v>
      </c>
      <c r="F55">
        <v>457280431</v>
      </c>
      <c r="G55" t="s">
        <v>104</v>
      </c>
      <c r="H55" t="s">
        <v>27</v>
      </c>
      <c r="I55" t="s">
        <v>82</v>
      </c>
      <c r="J55" s="11">
        <v>43809</v>
      </c>
      <c r="K55" t="s">
        <v>29</v>
      </c>
      <c r="L55" s="11">
        <v>43901</v>
      </c>
      <c r="M55">
        <v>10</v>
      </c>
      <c r="N55" t="s">
        <v>26</v>
      </c>
      <c r="O55" t="s">
        <v>172</v>
      </c>
      <c r="P55" s="13">
        <v>0</v>
      </c>
      <c r="Q55" s="11">
        <v>43901</v>
      </c>
      <c r="R55">
        <f>COUNTIF('#Everything (2)'!B:B, 'Callout sheet'!A55)</f>
        <v>1</v>
      </c>
    </row>
    <row r="56" spans="1:18" x14ac:dyDescent="0.25">
      <c r="A56">
        <v>11712457</v>
      </c>
      <c r="B56" t="s">
        <v>142</v>
      </c>
      <c r="C56" t="s">
        <v>143</v>
      </c>
      <c r="D56" s="10">
        <v>43902.570104166669</v>
      </c>
      <c r="E56">
        <v>447431155</v>
      </c>
      <c r="F56">
        <v>488431113</v>
      </c>
      <c r="G56" t="s">
        <v>85</v>
      </c>
      <c r="H56" t="s">
        <v>27</v>
      </c>
      <c r="I56" t="s">
        <v>82</v>
      </c>
      <c r="J56" s="11">
        <v>43809</v>
      </c>
      <c r="K56" t="s">
        <v>29</v>
      </c>
      <c r="L56" s="11">
        <v>43900</v>
      </c>
      <c r="M56">
        <v>10</v>
      </c>
      <c r="N56" t="s">
        <v>26</v>
      </c>
      <c r="O56" t="s">
        <v>172</v>
      </c>
      <c r="P56" s="13">
        <v>0</v>
      </c>
      <c r="Q56" s="11">
        <v>43901</v>
      </c>
      <c r="R56">
        <f>COUNTIF('#Everything (2)'!B:B, 'Callout sheet'!A56)</f>
        <v>1</v>
      </c>
    </row>
    <row r="57" spans="1:18" x14ac:dyDescent="0.25">
      <c r="A57">
        <v>11705102</v>
      </c>
      <c r="B57" t="s">
        <v>144</v>
      </c>
      <c r="C57" t="s">
        <v>145</v>
      </c>
      <c r="D57" s="10">
        <v>43900.502800925926</v>
      </c>
      <c r="E57">
        <v>488451712</v>
      </c>
      <c r="F57" t="s">
        <v>26</v>
      </c>
      <c r="G57" t="s">
        <v>85</v>
      </c>
      <c r="H57" t="s">
        <v>46</v>
      </c>
      <c r="I57" t="s">
        <v>82</v>
      </c>
      <c r="J57" s="11">
        <v>43809</v>
      </c>
      <c r="K57" t="s">
        <v>29</v>
      </c>
      <c r="L57" s="11">
        <v>43900</v>
      </c>
      <c r="M57">
        <v>14</v>
      </c>
      <c r="N57" t="s">
        <v>26</v>
      </c>
      <c r="O57" t="s">
        <v>172</v>
      </c>
      <c r="P57" s="13">
        <v>0</v>
      </c>
      <c r="Q57" s="11">
        <v>43901</v>
      </c>
      <c r="R57">
        <f>COUNTIF('#Everything (2)'!B:B, 'Callout sheet'!A57)</f>
        <v>1</v>
      </c>
    </row>
    <row r="58" spans="1:18" x14ac:dyDescent="0.25">
      <c r="A58">
        <v>11712160</v>
      </c>
      <c r="B58" t="s">
        <v>146</v>
      </c>
      <c r="C58" t="s">
        <v>147</v>
      </c>
      <c r="D58" s="10">
        <v>43899.637916666667</v>
      </c>
      <c r="E58">
        <v>413905053</v>
      </c>
      <c r="F58">
        <v>44460305</v>
      </c>
      <c r="G58" t="s">
        <v>104</v>
      </c>
      <c r="H58" t="s">
        <v>27</v>
      </c>
      <c r="I58" t="s">
        <v>82</v>
      </c>
      <c r="J58" s="11">
        <v>43809</v>
      </c>
      <c r="K58" t="s">
        <v>29</v>
      </c>
      <c r="L58" s="11">
        <v>43899</v>
      </c>
      <c r="M58">
        <v>10</v>
      </c>
      <c r="N58" t="s">
        <v>26</v>
      </c>
      <c r="O58" t="s">
        <v>172</v>
      </c>
      <c r="P58" s="13">
        <v>0</v>
      </c>
      <c r="Q58" s="11">
        <v>43901</v>
      </c>
      <c r="R58">
        <f>COUNTIF('#Everything (2)'!B:B, 'Callout sheet'!A58)</f>
        <v>1</v>
      </c>
    </row>
    <row r="59" spans="1:18" x14ac:dyDescent="0.25">
      <c r="A59">
        <v>11615285</v>
      </c>
      <c r="B59" t="s">
        <v>148</v>
      </c>
      <c r="C59" t="s">
        <v>90</v>
      </c>
      <c r="D59" s="10">
        <v>43902.622199074074</v>
      </c>
      <c r="E59">
        <v>428844457</v>
      </c>
      <c r="F59" t="s">
        <v>26</v>
      </c>
      <c r="G59" t="s">
        <v>104</v>
      </c>
      <c r="H59" t="s">
        <v>46</v>
      </c>
      <c r="I59" t="s">
        <v>82</v>
      </c>
      <c r="J59" s="11">
        <v>43809</v>
      </c>
      <c r="K59" t="s">
        <v>29</v>
      </c>
      <c r="L59" s="11">
        <v>43901</v>
      </c>
      <c r="M59">
        <v>11</v>
      </c>
      <c r="N59" t="s">
        <v>26</v>
      </c>
      <c r="O59" t="s">
        <v>172</v>
      </c>
      <c r="P59" s="13">
        <v>0</v>
      </c>
      <c r="Q59" s="11">
        <v>43901</v>
      </c>
      <c r="R59">
        <f>COUNTIF('#Everything (2)'!B:B, 'Callout sheet'!A59)</f>
        <v>1</v>
      </c>
    </row>
    <row r="60" spans="1:18" x14ac:dyDescent="0.25">
      <c r="A60">
        <v>11704499</v>
      </c>
      <c r="B60" t="s">
        <v>149</v>
      </c>
      <c r="C60" t="s">
        <v>150</v>
      </c>
      <c r="D60" s="10">
        <v>43902.472199074073</v>
      </c>
      <c r="E60">
        <v>7.9999929609926001E+19</v>
      </c>
      <c r="F60" t="s">
        <v>26</v>
      </c>
      <c r="G60" t="s">
        <v>81</v>
      </c>
      <c r="H60" t="s">
        <v>46</v>
      </c>
      <c r="I60" t="s">
        <v>82</v>
      </c>
      <c r="J60" s="11">
        <v>43809</v>
      </c>
      <c r="K60" t="s">
        <v>29</v>
      </c>
      <c r="L60" s="11">
        <v>43901</v>
      </c>
      <c r="M60">
        <v>10</v>
      </c>
      <c r="N60" t="s">
        <v>26</v>
      </c>
      <c r="O60" t="s">
        <v>172</v>
      </c>
      <c r="P60" s="13">
        <v>0</v>
      </c>
      <c r="Q60" s="11">
        <v>43901</v>
      </c>
      <c r="R60">
        <f>COUNTIF('#Everything (2)'!B:B, 'Callout sheet'!A60)</f>
        <v>1</v>
      </c>
    </row>
    <row r="61" spans="1:18" x14ac:dyDescent="0.25">
      <c r="A61">
        <v>11706999</v>
      </c>
      <c r="B61" t="s">
        <v>151</v>
      </c>
      <c r="C61" t="s">
        <v>152</v>
      </c>
      <c r="D61" s="10">
        <v>43901.674895833334</v>
      </c>
      <c r="E61">
        <v>479071850</v>
      </c>
      <c r="F61" t="s">
        <v>26</v>
      </c>
      <c r="G61" t="s">
        <v>88</v>
      </c>
      <c r="H61" t="s">
        <v>46</v>
      </c>
      <c r="I61" t="s">
        <v>82</v>
      </c>
      <c r="J61" s="11">
        <v>43809</v>
      </c>
      <c r="K61" t="s">
        <v>29</v>
      </c>
      <c r="L61" s="11">
        <v>43901</v>
      </c>
      <c r="M61">
        <v>19</v>
      </c>
      <c r="N61" t="s">
        <v>26</v>
      </c>
      <c r="O61" t="s">
        <v>172</v>
      </c>
      <c r="P61" s="13">
        <v>0</v>
      </c>
      <c r="Q61" s="11">
        <v>43901</v>
      </c>
      <c r="R61">
        <f>COUNTIF('#Everything (2)'!B:B, 'Callout sheet'!A61)</f>
        <v>1</v>
      </c>
    </row>
    <row r="62" spans="1:18" x14ac:dyDescent="0.25">
      <c r="A62">
        <v>11705899</v>
      </c>
      <c r="B62" t="s">
        <v>153</v>
      </c>
      <c r="C62" t="s">
        <v>154</v>
      </c>
      <c r="D62" s="10">
        <v>43901.976990740739</v>
      </c>
      <c r="E62">
        <v>499222438</v>
      </c>
      <c r="F62">
        <v>499222438</v>
      </c>
      <c r="G62" t="s">
        <v>81</v>
      </c>
      <c r="H62" t="s">
        <v>46</v>
      </c>
      <c r="I62" t="s">
        <v>82</v>
      </c>
      <c r="J62" s="11">
        <v>43809</v>
      </c>
      <c r="K62" t="s">
        <v>29</v>
      </c>
      <c r="L62" s="11">
        <v>43901</v>
      </c>
      <c r="M62">
        <v>13</v>
      </c>
      <c r="N62" t="s">
        <v>26</v>
      </c>
      <c r="O62" t="s">
        <v>172</v>
      </c>
      <c r="P62" s="13">
        <v>0</v>
      </c>
      <c r="Q62" s="11">
        <v>43901</v>
      </c>
      <c r="R62">
        <f>COUNTIF('#Everything (2)'!B:B, 'Callout sheet'!A62)</f>
        <v>1</v>
      </c>
    </row>
    <row r="63" spans="1:18" x14ac:dyDescent="0.25">
      <c r="A63">
        <v>11706538</v>
      </c>
      <c r="B63" t="s">
        <v>155</v>
      </c>
      <c r="C63" t="s">
        <v>156</v>
      </c>
      <c r="D63" s="10">
        <v>43900.901805555557</v>
      </c>
      <c r="E63">
        <v>478139619</v>
      </c>
      <c r="F63">
        <v>478139619</v>
      </c>
      <c r="G63" t="s">
        <v>85</v>
      </c>
      <c r="H63" t="s">
        <v>27</v>
      </c>
      <c r="I63" t="s">
        <v>82</v>
      </c>
      <c r="J63" s="11">
        <v>43809</v>
      </c>
      <c r="K63" t="s">
        <v>29</v>
      </c>
      <c r="L63" s="11">
        <v>43900</v>
      </c>
      <c r="M63">
        <v>15</v>
      </c>
      <c r="N63" t="s">
        <v>26</v>
      </c>
      <c r="O63" t="s">
        <v>172</v>
      </c>
      <c r="P63" s="13">
        <v>0</v>
      </c>
      <c r="Q63" s="11">
        <v>43901</v>
      </c>
      <c r="R63">
        <f>COUNTIF('#Everything (2)'!B:B, 'Callout sheet'!A63)</f>
        <v>1</v>
      </c>
    </row>
    <row r="64" spans="1:18" x14ac:dyDescent="0.25">
      <c r="A64">
        <v>11712674</v>
      </c>
      <c r="B64" t="s">
        <v>157</v>
      </c>
      <c r="C64" t="s">
        <v>158</v>
      </c>
      <c r="D64" s="10">
        <v>43900.66878472222</v>
      </c>
      <c r="E64">
        <v>477206225</v>
      </c>
      <c r="F64" t="s">
        <v>26</v>
      </c>
      <c r="G64" t="s">
        <v>85</v>
      </c>
      <c r="H64" t="s">
        <v>27</v>
      </c>
      <c r="I64" t="s">
        <v>82</v>
      </c>
      <c r="J64" s="11">
        <v>43809</v>
      </c>
      <c r="K64" t="s">
        <v>29</v>
      </c>
      <c r="L64" s="11">
        <v>43900</v>
      </c>
      <c r="M64">
        <v>9</v>
      </c>
      <c r="N64" t="s">
        <v>26</v>
      </c>
      <c r="O64" t="s">
        <v>172</v>
      </c>
      <c r="P64" s="13">
        <v>0</v>
      </c>
      <c r="Q64" s="11">
        <v>43901</v>
      </c>
      <c r="R64">
        <f>COUNTIF('#Everything (2)'!B:B, 'Callout sheet'!A64)</f>
        <v>1</v>
      </c>
    </row>
    <row r="65" spans="1:18" x14ac:dyDescent="0.25">
      <c r="A65">
        <v>11705910</v>
      </c>
      <c r="B65" t="s">
        <v>159</v>
      </c>
      <c r="C65" t="s">
        <v>160</v>
      </c>
      <c r="D65" s="10">
        <v>43902.471493055556</v>
      </c>
      <c r="E65">
        <v>428763402</v>
      </c>
      <c r="F65" t="s">
        <v>26</v>
      </c>
      <c r="G65" t="s">
        <v>88</v>
      </c>
      <c r="H65" t="s">
        <v>46</v>
      </c>
      <c r="I65" t="s">
        <v>82</v>
      </c>
      <c r="J65" s="11">
        <v>43809</v>
      </c>
      <c r="K65" t="s">
        <v>29</v>
      </c>
      <c r="L65" s="11">
        <v>43901</v>
      </c>
      <c r="M65">
        <v>20</v>
      </c>
      <c r="N65" t="s">
        <v>26</v>
      </c>
      <c r="O65" t="s">
        <v>172</v>
      </c>
      <c r="P65" s="13">
        <v>0</v>
      </c>
      <c r="Q65" s="11">
        <v>43901</v>
      </c>
      <c r="R65">
        <f>COUNTIF('#Everything (2)'!B:B, 'Callout sheet'!A65)</f>
        <v>1</v>
      </c>
    </row>
    <row r="66" spans="1:18" x14ac:dyDescent="0.25">
      <c r="A66">
        <v>11157389</v>
      </c>
      <c r="B66" t="s">
        <v>161</v>
      </c>
      <c r="C66" t="s">
        <v>43</v>
      </c>
      <c r="D66" s="10">
        <v>43901.583923611113</v>
      </c>
      <c r="E66">
        <v>404043490</v>
      </c>
      <c r="F66">
        <v>404043490</v>
      </c>
      <c r="G66" t="s">
        <v>88</v>
      </c>
      <c r="H66" t="s">
        <v>46</v>
      </c>
      <c r="I66" t="s">
        <v>82</v>
      </c>
      <c r="J66" s="11">
        <v>43809</v>
      </c>
      <c r="K66" t="s">
        <v>29</v>
      </c>
      <c r="L66" s="11">
        <v>43901</v>
      </c>
      <c r="M66">
        <v>15</v>
      </c>
      <c r="N66" t="s">
        <v>26</v>
      </c>
      <c r="O66" t="s">
        <v>172</v>
      </c>
      <c r="P66" s="13">
        <v>0</v>
      </c>
      <c r="Q66" s="11">
        <v>43901</v>
      </c>
      <c r="R66">
        <f>COUNTIF('#Everything (2)'!B:B, 'Callout sheet'!A66)</f>
        <v>1</v>
      </c>
    </row>
    <row r="67" spans="1:18" x14ac:dyDescent="0.25">
      <c r="A67">
        <v>11712875</v>
      </c>
      <c r="B67" t="s">
        <v>162</v>
      </c>
      <c r="C67" t="s">
        <v>163</v>
      </c>
      <c r="D67" s="10">
        <v>43901.939513888887</v>
      </c>
      <c r="E67">
        <v>432304791</v>
      </c>
      <c r="F67" t="s">
        <v>26</v>
      </c>
      <c r="G67" t="s">
        <v>85</v>
      </c>
      <c r="H67" t="s">
        <v>27</v>
      </c>
      <c r="I67" t="s">
        <v>82</v>
      </c>
      <c r="J67" s="11">
        <v>43809</v>
      </c>
      <c r="K67" t="s">
        <v>29</v>
      </c>
      <c r="L67" s="11">
        <v>43901</v>
      </c>
      <c r="M67">
        <v>24</v>
      </c>
      <c r="N67" t="s">
        <v>26</v>
      </c>
      <c r="O67" t="s">
        <v>172</v>
      </c>
      <c r="P67" s="13">
        <v>0</v>
      </c>
      <c r="Q67" s="11">
        <v>43901</v>
      </c>
      <c r="R67">
        <f>COUNTIF('#Everything (2)'!B:B, 'Callout sheet'!A67)</f>
        <v>1</v>
      </c>
    </row>
    <row r="68" spans="1:18" x14ac:dyDescent="0.25">
      <c r="A68">
        <v>11712417</v>
      </c>
      <c r="B68" t="s">
        <v>164</v>
      </c>
      <c r="C68" t="s">
        <v>165</v>
      </c>
      <c r="D68" s="10">
        <v>43902.37704861111</v>
      </c>
      <c r="E68">
        <v>401369980</v>
      </c>
      <c r="F68">
        <v>69313131</v>
      </c>
      <c r="G68" t="s">
        <v>104</v>
      </c>
      <c r="H68" t="s">
        <v>27</v>
      </c>
      <c r="I68" t="s">
        <v>82</v>
      </c>
      <c r="J68" s="11">
        <v>43809</v>
      </c>
      <c r="K68" t="s">
        <v>29</v>
      </c>
      <c r="L68" s="11">
        <v>43900</v>
      </c>
      <c r="M68">
        <v>8</v>
      </c>
      <c r="N68" t="s">
        <v>26</v>
      </c>
      <c r="O68" t="s">
        <v>172</v>
      </c>
      <c r="P68" s="13">
        <v>0</v>
      </c>
      <c r="Q68" s="11">
        <v>43901</v>
      </c>
      <c r="R68">
        <f>COUNTIF('#Everything (2)'!B:B, 'Callout sheet'!A68)</f>
        <v>1</v>
      </c>
    </row>
    <row r="69" spans="1:18" x14ac:dyDescent="0.25">
      <c r="A69">
        <v>11686027</v>
      </c>
      <c r="B69" t="s">
        <v>166</v>
      </c>
      <c r="C69" t="s">
        <v>167</v>
      </c>
      <c r="D69" s="10">
        <v>43901.94023148148</v>
      </c>
      <c r="E69">
        <v>457772700</v>
      </c>
      <c r="F69">
        <v>457772700</v>
      </c>
      <c r="G69" t="s">
        <v>85</v>
      </c>
      <c r="H69" t="s">
        <v>27</v>
      </c>
      <c r="I69" t="s">
        <v>82</v>
      </c>
      <c r="J69" s="11">
        <v>43809</v>
      </c>
      <c r="K69" t="s">
        <v>29</v>
      </c>
      <c r="L69" s="11">
        <v>43901</v>
      </c>
      <c r="M69">
        <v>13</v>
      </c>
      <c r="N69" t="s">
        <v>26</v>
      </c>
      <c r="O69" t="s">
        <v>172</v>
      </c>
      <c r="P69" s="13">
        <v>0</v>
      </c>
      <c r="Q69" s="11">
        <v>43901</v>
      </c>
      <c r="R69">
        <f>COUNTIF('#Everything (2)'!B:B, 'Callout sheet'!A69)</f>
        <v>1</v>
      </c>
    </row>
    <row r="70" spans="1:18" x14ac:dyDescent="0.25">
      <c r="A70">
        <v>11712813</v>
      </c>
      <c r="B70" t="s">
        <v>168</v>
      </c>
      <c r="C70" t="s">
        <v>169</v>
      </c>
      <c r="D70" s="10">
        <v>43902.426342592589</v>
      </c>
      <c r="E70">
        <v>473416231</v>
      </c>
      <c r="F70">
        <v>350200442</v>
      </c>
      <c r="G70" t="s">
        <v>85</v>
      </c>
      <c r="H70" t="s">
        <v>27</v>
      </c>
      <c r="I70" t="s">
        <v>82</v>
      </c>
      <c r="J70" s="11">
        <v>43809</v>
      </c>
      <c r="K70" t="s">
        <v>29</v>
      </c>
      <c r="L70" s="11">
        <v>43899</v>
      </c>
      <c r="M70">
        <v>6</v>
      </c>
      <c r="N70" t="s">
        <v>26</v>
      </c>
      <c r="O70" t="s">
        <v>172</v>
      </c>
      <c r="P70" s="13">
        <v>0</v>
      </c>
      <c r="Q70" s="11">
        <v>43901</v>
      </c>
      <c r="R70">
        <f>COUNTIF('#Everything (2)'!B:B, 'Callout sheet'!A70)</f>
        <v>1</v>
      </c>
    </row>
    <row r="71" spans="1:18" x14ac:dyDescent="0.25">
      <c r="A71">
        <v>11417142</v>
      </c>
      <c r="B71" t="s">
        <v>170</v>
      </c>
      <c r="C71" t="s">
        <v>171</v>
      </c>
      <c r="D71" s="10">
        <v>43901.845034722224</v>
      </c>
      <c r="E71">
        <v>269265201</v>
      </c>
      <c r="F71">
        <v>269265201</v>
      </c>
      <c r="G71" t="s">
        <v>85</v>
      </c>
      <c r="H71" t="s">
        <v>46</v>
      </c>
      <c r="I71" t="s">
        <v>82</v>
      </c>
      <c r="J71" s="11">
        <v>43805</v>
      </c>
      <c r="K71" t="s">
        <v>29</v>
      </c>
      <c r="L71" s="11">
        <v>43901</v>
      </c>
      <c r="M71">
        <v>18</v>
      </c>
      <c r="N71" t="s">
        <v>26</v>
      </c>
      <c r="O71" t="s">
        <v>172</v>
      </c>
      <c r="P71" s="13">
        <v>0</v>
      </c>
      <c r="Q71" s="11">
        <v>43901</v>
      </c>
      <c r="R71">
        <f>COUNTIF('#Everything (2)'!B:B, 'Callout sheet'!A71)</f>
        <v>1</v>
      </c>
    </row>
    <row r="72" spans="1:18" x14ac:dyDescent="0.25">
      <c r="D72" s="10"/>
      <c r="J72" s="11"/>
      <c r="L72" s="11"/>
    </row>
    <row r="73" spans="1:18" x14ac:dyDescent="0.25">
      <c r="D73" s="10"/>
      <c r="J73" s="11"/>
      <c r="L73" s="11"/>
    </row>
    <row r="74" spans="1:18" x14ac:dyDescent="0.25">
      <c r="D74" s="10"/>
      <c r="J74" s="11"/>
      <c r="L74" s="11"/>
    </row>
    <row r="75" spans="1:18" x14ac:dyDescent="0.25">
      <c r="D75" s="10"/>
      <c r="J75" s="11"/>
      <c r="L75" s="11"/>
    </row>
    <row r="76" spans="1:18" x14ac:dyDescent="0.25">
      <c r="D76" s="10"/>
      <c r="J76" s="11"/>
      <c r="L76" s="11"/>
    </row>
    <row r="77" spans="1:18" x14ac:dyDescent="0.25">
      <c r="D77" s="10"/>
      <c r="J77" s="11"/>
      <c r="L77" s="11"/>
    </row>
    <row r="78" spans="1:18" x14ac:dyDescent="0.25">
      <c r="D78" s="10"/>
      <c r="J78" s="11"/>
      <c r="L78" s="11"/>
    </row>
    <row r="79" spans="1:18" x14ac:dyDescent="0.25">
      <c r="D79" s="10"/>
      <c r="J79" s="11"/>
      <c r="L79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6"/>
  <sheetViews>
    <sheetView workbookViewId="0">
      <selection activeCell="A2" sqref="A2"/>
    </sheetView>
  </sheetViews>
  <sheetFormatPr defaultRowHeight="15" x14ac:dyDescent="0.25"/>
  <cols>
    <col min="18" max="18" width="10.85546875" customWidth="1"/>
    <col min="19" max="19" width="15.42578125" customWidth="1"/>
  </cols>
  <sheetData>
    <row r="1" spans="1:19" ht="75" x14ac:dyDescent="0.25">
      <c r="A1" s="7" t="s">
        <v>23</v>
      </c>
      <c r="B1" s="2" t="s">
        <v>21</v>
      </c>
      <c r="C1" s="2" t="s">
        <v>20</v>
      </c>
      <c r="D1" s="2" t="s">
        <v>19</v>
      </c>
      <c r="E1" s="2" t="s">
        <v>18</v>
      </c>
      <c r="F1" s="2" t="s">
        <v>17</v>
      </c>
      <c r="G1" s="2" t="s">
        <v>16</v>
      </c>
      <c r="H1" s="2" t="s">
        <v>15</v>
      </c>
      <c r="I1" s="2" t="s">
        <v>14</v>
      </c>
      <c r="J1" s="2" t="s">
        <v>13</v>
      </c>
      <c r="K1" s="4" t="s">
        <v>12</v>
      </c>
      <c r="L1" s="4" t="s">
        <v>11</v>
      </c>
      <c r="M1" s="5" t="s">
        <v>10</v>
      </c>
      <c r="N1" s="4" t="s">
        <v>9</v>
      </c>
      <c r="O1" s="4" t="s">
        <v>8</v>
      </c>
      <c r="P1" s="4" t="s">
        <v>22</v>
      </c>
      <c r="Q1" s="4" t="s">
        <v>6</v>
      </c>
      <c r="R1" s="2" t="s">
        <v>5</v>
      </c>
      <c r="S1" s="6"/>
    </row>
    <row r="2" spans="1:19" x14ac:dyDescent="0.25">
      <c r="A2" s="14">
        <f>IF(ISERROR(MATCH(B2,'Callout sheet'!A:A)), 0, 1)</f>
        <v>1</v>
      </c>
      <c r="B2">
        <v>11539124</v>
      </c>
      <c r="C2" t="s">
        <v>24</v>
      </c>
      <c r="D2" t="s">
        <v>25</v>
      </c>
      <c r="E2" s="10">
        <v>43899.890393518515</v>
      </c>
      <c r="F2">
        <v>488716479</v>
      </c>
      <c r="G2">
        <v>488716479</v>
      </c>
      <c r="H2" t="s">
        <v>26</v>
      </c>
      <c r="I2" t="s">
        <v>27</v>
      </c>
      <c r="J2" t="s">
        <v>28</v>
      </c>
      <c r="K2" s="11">
        <v>43809</v>
      </c>
      <c r="L2" t="s">
        <v>29</v>
      </c>
      <c r="M2" s="11">
        <v>43899</v>
      </c>
      <c r="N2">
        <v>22</v>
      </c>
      <c r="O2" s="12" t="s">
        <v>26</v>
      </c>
      <c r="P2" t="s">
        <v>30</v>
      </c>
      <c r="Q2" s="13">
        <v>0.01</v>
      </c>
      <c r="R2" s="11">
        <v>43901</v>
      </c>
    </row>
    <row r="3" spans="1:19" x14ac:dyDescent="0.25">
      <c r="A3" s="14">
        <f>IF(ISERROR(MATCH(B3,'Callout sheet'!A:A)), 0, 1)</f>
        <v>1</v>
      </c>
      <c r="B3">
        <v>11715933</v>
      </c>
      <c r="C3" t="s">
        <v>31</v>
      </c>
      <c r="D3" t="s">
        <v>32</v>
      </c>
      <c r="E3" s="10">
        <v>43901.520740740743</v>
      </c>
      <c r="F3">
        <v>448491724</v>
      </c>
      <c r="G3">
        <v>439557796</v>
      </c>
      <c r="H3" t="s">
        <v>26</v>
      </c>
      <c r="I3" t="s">
        <v>27</v>
      </c>
      <c r="J3" t="s">
        <v>28</v>
      </c>
      <c r="K3" s="11">
        <v>43822</v>
      </c>
      <c r="L3" t="s">
        <v>33</v>
      </c>
      <c r="M3" s="11">
        <v>43901</v>
      </c>
      <c r="N3">
        <v>4</v>
      </c>
      <c r="O3" s="12" t="s">
        <v>26</v>
      </c>
      <c r="P3" t="s">
        <v>30</v>
      </c>
      <c r="Q3" s="13">
        <v>0.01</v>
      </c>
      <c r="R3" s="11">
        <v>43901</v>
      </c>
    </row>
    <row r="4" spans="1:19" x14ac:dyDescent="0.25">
      <c r="A4" s="14">
        <f>IF(ISERROR(MATCH(B4,'Callout sheet'!A:A)), 0, 1)</f>
        <v>1</v>
      </c>
      <c r="B4">
        <v>11705341</v>
      </c>
      <c r="C4" t="s">
        <v>34</v>
      </c>
      <c r="D4" t="s">
        <v>35</v>
      </c>
      <c r="F4">
        <v>401184057</v>
      </c>
      <c r="G4" t="s">
        <v>26</v>
      </c>
      <c r="H4" t="s">
        <v>26</v>
      </c>
      <c r="I4" t="s">
        <v>27</v>
      </c>
      <c r="J4" t="s">
        <v>28</v>
      </c>
      <c r="K4" s="11">
        <v>43902</v>
      </c>
      <c r="L4" t="s">
        <v>33</v>
      </c>
      <c r="M4" t="s">
        <v>26</v>
      </c>
      <c r="N4">
        <v>0</v>
      </c>
      <c r="O4" s="12" t="s">
        <v>26</v>
      </c>
      <c r="P4" t="s">
        <v>30</v>
      </c>
      <c r="Q4" s="13">
        <v>0.01</v>
      </c>
      <c r="R4" s="11">
        <v>43901</v>
      </c>
    </row>
    <row r="5" spans="1:19" x14ac:dyDescent="0.25">
      <c r="A5" s="14">
        <f>IF(ISERROR(MATCH(B5,'Callout sheet'!A:A)), 0, 1)</f>
        <v>1</v>
      </c>
      <c r="B5">
        <v>11690276</v>
      </c>
      <c r="C5" t="s">
        <v>36</v>
      </c>
      <c r="D5" t="s">
        <v>37</v>
      </c>
      <c r="E5" s="10">
        <v>43901.51935185185</v>
      </c>
      <c r="F5">
        <v>401518070</v>
      </c>
      <c r="G5">
        <v>401518070</v>
      </c>
      <c r="H5" t="s">
        <v>26</v>
      </c>
      <c r="I5" t="s">
        <v>27</v>
      </c>
      <c r="J5" t="s">
        <v>28</v>
      </c>
      <c r="K5" s="11">
        <v>43809</v>
      </c>
      <c r="L5" t="s">
        <v>29</v>
      </c>
      <c r="M5" s="11">
        <v>43901</v>
      </c>
      <c r="N5">
        <v>9</v>
      </c>
      <c r="O5" s="12" t="s">
        <v>26</v>
      </c>
      <c r="P5" t="s">
        <v>30</v>
      </c>
      <c r="Q5" s="13">
        <v>0.01</v>
      </c>
      <c r="R5" s="11">
        <v>43901</v>
      </c>
    </row>
    <row r="6" spans="1:19" x14ac:dyDescent="0.25">
      <c r="A6" s="14">
        <f>IF(ISERROR(MATCH(B6,'Callout sheet'!A:A)), 0, 1)</f>
        <v>1</v>
      </c>
      <c r="B6">
        <v>11685939</v>
      </c>
      <c r="C6" t="s">
        <v>38</v>
      </c>
      <c r="D6" t="s">
        <v>39</v>
      </c>
      <c r="E6" s="10">
        <v>43899.797546296293</v>
      </c>
      <c r="F6">
        <v>456736757</v>
      </c>
      <c r="G6">
        <v>456736757</v>
      </c>
      <c r="H6" t="s">
        <v>26</v>
      </c>
      <c r="I6" t="s">
        <v>27</v>
      </c>
      <c r="J6" t="s">
        <v>28</v>
      </c>
      <c r="K6" s="11">
        <v>43809</v>
      </c>
      <c r="L6" t="s">
        <v>29</v>
      </c>
      <c r="M6" s="11">
        <v>43899</v>
      </c>
      <c r="N6">
        <v>3</v>
      </c>
      <c r="O6" s="12" t="s">
        <v>26</v>
      </c>
      <c r="P6" t="s">
        <v>30</v>
      </c>
      <c r="Q6" s="13">
        <v>0.01</v>
      </c>
      <c r="R6" s="11">
        <v>43901</v>
      </c>
    </row>
    <row r="7" spans="1:19" x14ac:dyDescent="0.25">
      <c r="A7" s="14">
        <f>IF(ISERROR(MATCH(B7,'Callout sheet'!A:A)), 0, 1)</f>
        <v>1</v>
      </c>
      <c r="B7">
        <v>11712393</v>
      </c>
      <c r="C7" t="s">
        <v>40</v>
      </c>
      <c r="D7" t="s">
        <v>41</v>
      </c>
      <c r="E7" s="10">
        <v>43900.767083333332</v>
      </c>
      <c r="F7">
        <v>419983448</v>
      </c>
      <c r="G7" t="s">
        <v>26</v>
      </c>
      <c r="H7" t="s">
        <v>26</v>
      </c>
      <c r="I7" t="s">
        <v>27</v>
      </c>
      <c r="J7" t="s">
        <v>28</v>
      </c>
      <c r="K7" s="11">
        <v>43809</v>
      </c>
      <c r="L7" t="s">
        <v>29</v>
      </c>
      <c r="M7" s="11">
        <v>43900</v>
      </c>
      <c r="N7">
        <v>6</v>
      </c>
      <c r="O7" s="12" t="s">
        <v>26</v>
      </c>
      <c r="P7" t="s">
        <v>30</v>
      </c>
      <c r="Q7" s="13">
        <v>0.01</v>
      </c>
      <c r="R7" s="11">
        <v>43901</v>
      </c>
    </row>
    <row r="8" spans="1:19" x14ac:dyDescent="0.25">
      <c r="A8" s="14">
        <f>IF(ISERROR(MATCH(B8,'Callout sheet'!A:A)), 0, 1)</f>
        <v>1</v>
      </c>
      <c r="B8">
        <v>11715210</v>
      </c>
      <c r="C8" t="s">
        <v>42</v>
      </c>
      <c r="D8" t="s">
        <v>43</v>
      </c>
      <c r="E8" s="10">
        <v>43902.50273148148</v>
      </c>
      <c r="F8">
        <v>456389011</v>
      </c>
      <c r="G8" t="s">
        <v>26</v>
      </c>
      <c r="H8" t="s">
        <v>26</v>
      </c>
      <c r="I8" t="s">
        <v>27</v>
      </c>
      <c r="J8" t="s">
        <v>28</v>
      </c>
      <c r="K8" s="11">
        <v>43811</v>
      </c>
      <c r="L8" t="s">
        <v>29</v>
      </c>
      <c r="M8" s="11">
        <v>43900</v>
      </c>
      <c r="N8">
        <v>6</v>
      </c>
      <c r="O8" s="12" t="s">
        <v>26</v>
      </c>
      <c r="P8" t="s">
        <v>30</v>
      </c>
      <c r="Q8" s="13">
        <v>0.01</v>
      </c>
      <c r="R8" s="11">
        <v>43901</v>
      </c>
    </row>
    <row r="9" spans="1:19" x14ac:dyDescent="0.25">
      <c r="A9" s="14">
        <f>IF(ISERROR(MATCH(B9,'Callout sheet'!A:A)), 0, 1)</f>
        <v>1</v>
      </c>
      <c r="B9">
        <v>11658516</v>
      </c>
      <c r="C9" t="s">
        <v>44</v>
      </c>
      <c r="D9" t="s">
        <v>45</v>
      </c>
      <c r="E9" s="10">
        <v>43901.530474537038</v>
      </c>
      <c r="F9">
        <v>459174903</v>
      </c>
      <c r="G9" t="s">
        <v>26</v>
      </c>
      <c r="H9" t="s">
        <v>26</v>
      </c>
      <c r="I9" t="s">
        <v>46</v>
      </c>
      <c r="J9" t="s">
        <v>28</v>
      </c>
      <c r="K9" s="11">
        <v>43809</v>
      </c>
      <c r="L9" t="s">
        <v>29</v>
      </c>
      <c r="M9" s="11">
        <v>43901</v>
      </c>
      <c r="N9">
        <v>14</v>
      </c>
      <c r="O9" s="12" t="s">
        <v>26</v>
      </c>
      <c r="P9" t="s">
        <v>30</v>
      </c>
      <c r="Q9" s="13">
        <v>0.01</v>
      </c>
      <c r="R9" s="11">
        <v>43901</v>
      </c>
    </row>
    <row r="10" spans="1:19" x14ac:dyDescent="0.25">
      <c r="A10" s="14">
        <f>IF(ISERROR(MATCH(B10,'Callout sheet'!A:A)), 0, 1)</f>
        <v>1</v>
      </c>
      <c r="B10">
        <v>11716227</v>
      </c>
      <c r="C10" t="s">
        <v>47</v>
      </c>
      <c r="D10" t="s">
        <v>48</v>
      </c>
      <c r="E10" s="10">
        <v>43899.490694444445</v>
      </c>
      <c r="F10">
        <v>491600102</v>
      </c>
      <c r="G10">
        <v>44439531</v>
      </c>
      <c r="H10" t="s">
        <v>26</v>
      </c>
      <c r="I10" t="s">
        <v>27</v>
      </c>
      <c r="J10" t="s">
        <v>28</v>
      </c>
      <c r="K10" s="11">
        <v>43822</v>
      </c>
      <c r="L10" t="s">
        <v>29</v>
      </c>
      <c r="M10" s="11">
        <v>43899</v>
      </c>
      <c r="N10">
        <v>6</v>
      </c>
      <c r="O10" s="12" t="s">
        <v>26</v>
      </c>
      <c r="P10" t="s">
        <v>30</v>
      </c>
      <c r="Q10" s="13">
        <v>0.01</v>
      </c>
      <c r="R10" s="11">
        <v>43901</v>
      </c>
    </row>
    <row r="11" spans="1:19" x14ac:dyDescent="0.25">
      <c r="A11" s="14">
        <f>IF(ISERROR(MATCH(B11,'Callout sheet'!A:A)), 0, 1)</f>
        <v>1</v>
      </c>
      <c r="B11">
        <v>11709821</v>
      </c>
      <c r="C11" t="s">
        <v>49</v>
      </c>
      <c r="D11" t="s">
        <v>50</v>
      </c>
      <c r="E11" s="10">
        <v>43899.899583333332</v>
      </c>
      <c r="F11">
        <v>437860672</v>
      </c>
      <c r="G11" t="s">
        <v>26</v>
      </c>
      <c r="H11" t="s">
        <v>26</v>
      </c>
      <c r="I11" t="s">
        <v>27</v>
      </c>
      <c r="J11" t="s">
        <v>28</v>
      </c>
      <c r="K11" s="11">
        <v>43809</v>
      </c>
      <c r="L11" t="s">
        <v>29</v>
      </c>
      <c r="M11" s="11">
        <v>43899</v>
      </c>
      <c r="N11">
        <v>9</v>
      </c>
      <c r="O11" s="12" t="s">
        <v>26</v>
      </c>
      <c r="P11" t="s">
        <v>30</v>
      </c>
      <c r="Q11" s="13">
        <v>0.01</v>
      </c>
      <c r="R11" s="11">
        <v>43901</v>
      </c>
    </row>
    <row r="12" spans="1:19" x14ac:dyDescent="0.25">
      <c r="A12" s="14">
        <f>IF(ISERROR(MATCH(B12,'Callout sheet'!A:A)), 0, 1)</f>
        <v>1</v>
      </c>
      <c r="B12">
        <v>11687020</v>
      </c>
      <c r="C12" t="s">
        <v>51</v>
      </c>
      <c r="D12" t="s">
        <v>52</v>
      </c>
      <c r="E12" s="10">
        <v>43901.51934027778</v>
      </c>
      <c r="F12">
        <v>429533099</v>
      </c>
      <c r="G12">
        <v>429533099</v>
      </c>
      <c r="H12" t="s">
        <v>26</v>
      </c>
      <c r="I12" t="s">
        <v>27</v>
      </c>
      <c r="J12" t="s">
        <v>28</v>
      </c>
      <c r="K12" s="11">
        <v>43809</v>
      </c>
      <c r="L12" t="s">
        <v>29</v>
      </c>
      <c r="M12" s="11">
        <v>43901</v>
      </c>
      <c r="N12">
        <v>6</v>
      </c>
      <c r="O12" s="12" t="s">
        <v>26</v>
      </c>
      <c r="P12" t="s">
        <v>30</v>
      </c>
      <c r="Q12" s="13">
        <v>0.01</v>
      </c>
      <c r="R12" s="11">
        <v>43901</v>
      </c>
    </row>
    <row r="13" spans="1:19" x14ac:dyDescent="0.25">
      <c r="A13" s="14">
        <f>IF(ISERROR(MATCH(B13,'Callout sheet'!A:A)), 0, 1)</f>
        <v>1</v>
      </c>
      <c r="B13">
        <v>11716311</v>
      </c>
      <c r="C13" t="s">
        <v>53</v>
      </c>
      <c r="D13" t="s">
        <v>54</v>
      </c>
      <c r="E13" s="10">
        <v>43902.388842592591</v>
      </c>
      <c r="F13">
        <v>477201643</v>
      </c>
      <c r="G13">
        <v>477201643</v>
      </c>
      <c r="H13" t="s">
        <v>26</v>
      </c>
      <c r="I13" t="s">
        <v>27</v>
      </c>
      <c r="J13" t="s">
        <v>28</v>
      </c>
      <c r="K13" s="11">
        <v>43822</v>
      </c>
      <c r="L13" t="s">
        <v>29</v>
      </c>
      <c r="M13" s="11">
        <v>43901</v>
      </c>
      <c r="N13">
        <v>10</v>
      </c>
      <c r="O13" s="12" t="s">
        <v>26</v>
      </c>
      <c r="P13" t="s">
        <v>30</v>
      </c>
      <c r="Q13" s="13">
        <v>0.01</v>
      </c>
      <c r="R13" s="11">
        <v>43901</v>
      </c>
    </row>
    <row r="14" spans="1:19" x14ac:dyDescent="0.25">
      <c r="A14" s="14">
        <f>IF(ISERROR(MATCH(B14,'Callout sheet'!A:A)), 0, 1)</f>
        <v>1</v>
      </c>
      <c r="B14">
        <v>11706367</v>
      </c>
      <c r="C14" t="s">
        <v>55</v>
      </c>
      <c r="D14" t="s">
        <v>56</v>
      </c>
      <c r="E14" s="10">
        <v>43900.459849537037</v>
      </c>
      <c r="F14">
        <v>434086445</v>
      </c>
      <c r="G14" t="s">
        <v>26</v>
      </c>
      <c r="H14" t="s">
        <v>26</v>
      </c>
      <c r="I14" t="s">
        <v>46</v>
      </c>
      <c r="J14" t="s">
        <v>28</v>
      </c>
      <c r="K14" s="11">
        <v>43809</v>
      </c>
      <c r="L14" t="s">
        <v>29</v>
      </c>
      <c r="M14" s="11">
        <v>43900</v>
      </c>
      <c r="N14">
        <v>5</v>
      </c>
      <c r="O14" s="12" t="s">
        <v>26</v>
      </c>
      <c r="P14" t="s">
        <v>30</v>
      </c>
      <c r="Q14" s="13">
        <v>0.01</v>
      </c>
      <c r="R14" s="11">
        <v>43901</v>
      </c>
    </row>
    <row r="15" spans="1:19" x14ac:dyDescent="0.25">
      <c r="A15" s="14">
        <f>IF(ISERROR(MATCH(B15,'Callout sheet'!A:A)), 0, 1)</f>
        <v>1</v>
      </c>
      <c r="B15">
        <v>11707002</v>
      </c>
      <c r="C15" t="s">
        <v>57</v>
      </c>
      <c r="D15" t="s">
        <v>58</v>
      </c>
      <c r="E15" s="10">
        <v>43901.462395833332</v>
      </c>
      <c r="F15">
        <v>499111109</v>
      </c>
      <c r="G15" t="s">
        <v>26</v>
      </c>
      <c r="H15" t="s">
        <v>26</v>
      </c>
      <c r="I15" t="s">
        <v>46</v>
      </c>
      <c r="J15" t="s">
        <v>28</v>
      </c>
      <c r="K15" s="11">
        <v>43886</v>
      </c>
      <c r="L15" t="s">
        <v>29</v>
      </c>
      <c r="M15" s="11">
        <v>43901</v>
      </c>
      <c r="N15">
        <v>10</v>
      </c>
      <c r="O15" s="12" t="s">
        <v>26</v>
      </c>
      <c r="P15" t="s">
        <v>30</v>
      </c>
      <c r="Q15" s="13">
        <v>0.01</v>
      </c>
      <c r="R15" s="11">
        <v>43901</v>
      </c>
    </row>
    <row r="16" spans="1:19" x14ac:dyDescent="0.25">
      <c r="A16" s="14">
        <f>IF(ISERROR(MATCH(B16,'Callout sheet'!A:A)), 0, 1)</f>
        <v>1</v>
      </c>
      <c r="B16">
        <v>11712653</v>
      </c>
      <c r="C16" t="s">
        <v>59</v>
      </c>
      <c r="D16" t="s">
        <v>60</v>
      </c>
      <c r="F16">
        <v>475470004</v>
      </c>
      <c r="G16">
        <v>68816607</v>
      </c>
      <c r="H16" t="s">
        <v>26</v>
      </c>
      <c r="I16" t="s">
        <v>27</v>
      </c>
      <c r="J16" t="s">
        <v>28</v>
      </c>
      <c r="K16" s="11">
        <v>43809</v>
      </c>
      <c r="L16" t="s">
        <v>33</v>
      </c>
      <c r="M16" t="s">
        <v>26</v>
      </c>
      <c r="N16">
        <v>0</v>
      </c>
      <c r="O16" s="12" t="s">
        <v>26</v>
      </c>
      <c r="P16" t="s">
        <v>30</v>
      </c>
      <c r="Q16" s="13">
        <v>0.01</v>
      </c>
      <c r="R16" s="11">
        <v>43901</v>
      </c>
    </row>
    <row r="17" spans="1:18" x14ac:dyDescent="0.25">
      <c r="A17" s="14">
        <f>IF(ISERROR(MATCH(B17,'Callout sheet'!A:A)), 0, 1)</f>
        <v>1</v>
      </c>
      <c r="B17">
        <v>11658752</v>
      </c>
      <c r="C17" t="s">
        <v>61</v>
      </c>
      <c r="D17" t="s">
        <v>62</v>
      </c>
      <c r="E17" s="10">
        <v>43901.52008101852</v>
      </c>
      <c r="F17">
        <v>403139354</v>
      </c>
      <c r="G17" t="s">
        <v>26</v>
      </c>
      <c r="H17" t="s">
        <v>26</v>
      </c>
      <c r="I17" t="s">
        <v>46</v>
      </c>
      <c r="J17" t="s">
        <v>28</v>
      </c>
      <c r="K17" s="11">
        <v>43809</v>
      </c>
      <c r="L17" t="s">
        <v>29</v>
      </c>
      <c r="M17" s="11">
        <v>43901</v>
      </c>
      <c r="N17">
        <v>11</v>
      </c>
      <c r="O17" s="12" t="s">
        <v>26</v>
      </c>
      <c r="P17" t="s">
        <v>30</v>
      </c>
      <c r="Q17" s="13">
        <v>0.01</v>
      </c>
      <c r="R17" s="11">
        <v>43901</v>
      </c>
    </row>
    <row r="18" spans="1:18" x14ac:dyDescent="0.25">
      <c r="A18" s="14">
        <f>IF(ISERROR(MATCH(B18,'Callout sheet'!A:A)), 0, 1)</f>
        <v>1</v>
      </c>
      <c r="B18">
        <v>11712730</v>
      </c>
      <c r="C18" t="s">
        <v>63</v>
      </c>
      <c r="D18" t="s">
        <v>64</v>
      </c>
      <c r="E18" s="10">
        <v>43901.567974537036</v>
      </c>
      <c r="F18">
        <v>417992212</v>
      </c>
      <c r="G18">
        <v>417478079</v>
      </c>
      <c r="H18" t="s">
        <v>26</v>
      </c>
      <c r="I18" t="s">
        <v>27</v>
      </c>
      <c r="J18" t="s">
        <v>28</v>
      </c>
      <c r="K18" s="11">
        <v>43809</v>
      </c>
      <c r="L18" t="s">
        <v>29</v>
      </c>
      <c r="M18" s="11">
        <v>43901</v>
      </c>
      <c r="N18">
        <v>5</v>
      </c>
      <c r="O18" s="12" t="s">
        <v>26</v>
      </c>
      <c r="P18" t="s">
        <v>30</v>
      </c>
      <c r="Q18" s="13">
        <v>0.01</v>
      </c>
      <c r="R18" s="11">
        <v>43901</v>
      </c>
    </row>
    <row r="19" spans="1:18" x14ac:dyDescent="0.25">
      <c r="A19" s="14">
        <f>IF(ISERROR(MATCH(B19,'Callout sheet'!A:A)), 0, 1)</f>
        <v>1</v>
      </c>
      <c r="B19">
        <v>11712754</v>
      </c>
      <c r="C19" t="s">
        <v>65</v>
      </c>
      <c r="D19" t="s">
        <v>66</v>
      </c>
      <c r="E19" s="10">
        <v>43901.520752314813</v>
      </c>
      <c r="F19">
        <v>439283668</v>
      </c>
      <c r="G19">
        <v>439283668</v>
      </c>
      <c r="H19" t="s">
        <v>26</v>
      </c>
      <c r="I19" t="s">
        <v>27</v>
      </c>
      <c r="J19" t="s">
        <v>28</v>
      </c>
      <c r="K19" s="11">
        <v>43818</v>
      </c>
      <c r="L19" t="s">
        <v>29</v>
      </c>
      <c r="M19" s="11">
        <v>43901</v>
      </c>
      <c r="N19">
        <v>8</v>
      </c>
      <c r="O19" s="12" t="s">
        <v>26</v>
      </c>
      <c r="P19" t="s">
        <v>30</v>
      </c>
      <c r="Q19" s="13">
        <v>0.01</v>
      </c>
      <c r="R19" s="11">
        <v>43901</v>
      </c>
    </row>
    <row r="20" spans="1:18" x14ac:dyDescent="0.25">
      <c r="A20" s="14">
        <f>IF(ISERROR(MATCH(B20,'Callout sheet'!A:A)), 0, 1)</f>
        <v>1</v>
      </c>
      <c r="B20">
        <v>11542538</v>
      </c>
      <c r="C20" t="s">
        <v>67</v>
      </c>
      <c r="D20" t="s">
        <v>68</v>
      </c>
      <c r="E20" s="10">
        <v>43901.974212962959</v>
      </c>
      <c r="F20">
        <v>357522593</v>
      </c>
      <c r="G20" t="s">
        <v>26</v>
      </c>
      <c r="H20" t="s">
        <v>26</v>
      </c>
      <c r="I20" t="s">
        <v>46</v>
      </c>
      <c r="J20" t="s">
        <v>28</v>
      </c>
      <c r="K20" s="11">
        <v>43809</v>
      </c>
      <c r="L20" t="s">
        <v>29</v>
      </c>
      <c r="M20" s="11">
        <v>43901</v>
      </c>
      <c r="N20">
        <v>25</v>
      </c>
      <c r="O20" s="12" t="s">
        <v>26</v>
      </c>
      <c r="P20" t="s">
        <v>30</v>
      </c>
      <c r="Q20" s="13">
        <v>0.01</v>
      </c>
      <c r="R20" s="11">
        <v>43901</v>
      </c>
    </row>
    <row r="21" spans="1:18" x14ac:dyDescent="0.25">
      <c r="A21" s="14">
        <f>IF(ISERROR(MATCH(B21,'Callout sheet'!A:A)), 0, 1)</f>
        <v>1</v>
      </c>
      <c r="B21">
        <v>11683076</v>
      </c>
      <c r="C21" t="s">
        <v>69</v>
      </c>
      <c r="D21" t="s">
        <v>70</v>
      </c>
      <c r="E21" s="10">
        <v>43899.459131944444</v>
      </c>
      <c r="F21">
        <v>487572325</v>
      </c>
      <c r="G21">
        <v>487572325</v>
      </c>
      <c r="H21" t="s">
        <v>26</v>
      </c>
      <c r="I21" t="s">
        <v>27</v>
      </c>
      <c r="J21" t="s">
        <v>28</v>
      </c>
      <c r="K21" s="11">
        <v>43809</v>
      </c>
      <c r="L21" t="s">
        <v>33</v>
      </c>
      <c r="M21" s="11">
        <v>43899</v>
      </c>
      <c r="N21">
        <v>5</v>
      </c>
      <c r="O21" s="12" t="s">
        <v>26</v>
      </c>
      <c r="P21" t="s">
        <v>30</v>
      </c>
      <c r="Q21" s="13">
        <v>0.01</v>
      </c>
      <c r="R21" s="11">
        <v>43901</v>
      </c>
    </row>
    <row r="22" spans="1:18" x14ac:dyDescent="0.25">
      <c r="A22" s="14">
        <f>IF(ISERROR(MATCH(B22,'Callout sheet'!A:A)), 0, 1)</f>
        <v>1</v>
      </c>
      <c r="B22">
        <v>11712892</v>
      </c>
      <c r="C22" t="s">
        <v>71</v>
      </c>
      <c r="D22" t="s">
        <v>72</v>
      </c>
      <c r="E22" s="10">
        <v>43901.72351851852</v>
      </c>
      <c r="F22">
        <v>268861207</v>
      </c>
      <c r="G22">
        <v>419618857</v>
      </c>
      <c r="H22" t="s">
        <v>26</v>
      </c>
      <c r="I22" t="s">
        <v>27</v>
      </c>
      <c r="J22" t="s">
        <v>28</v>
      </c>
      <c r="K22" s="11">
        <v>43838</v>
      </c>
      <c r="L22" t="s">
        <v>33</v>
      </c>
      <c r="M22" s="11">
        <v>43901</v>
      </c>
      <c r="N22">
        <v>7</v>
      </c>
      <c r="O22" s="12" t="s">
        <v>26</v>
      </c>
      <c r="P22" t="s">
        <v>30</v>
      </c>
      <c r="Q22" s="13">
        <v>0.01</v>
      </c>
      <c r="R22" s="11">
        <v>43901</v>
      </c>
    </row>
    <row r="23" spans="1:18" x14ac:dyDescent="0.25">
      <c r="A23" s="14">
        <f>IF(ISERROR(MATCH(B23,'Callout sheet'!A:A)), 0, 1)</f>
        <v>1</v>
      </c>
      <c r="B23">
        <v>11686827</v>
      </c>
      <c r="C23" t="s">
        <v>73</v>
      </c>
      <c r="D23" t="s">
        <v>74</v>
      </c>
      <c r="E23" s="10">
        <v>43902.345104166663</v>
      </c>
      <c r="F23">
        <v>458760612</v>
      </c>
      <c r="G23">
        <v>458760612</v>
      </c>
      <c r="H23" t="s">
        <v>26</v>
      </c>
      <c r="I23" t="s">
        <v>27</v>
      </c>
      <c r="J23" t="s">
        <v>28</v>
      </c>
      <c r="K23" s="11">
        <v>43809</v>
      </c>
      <c r="L23" t="s">
        <v>29</v>
      </c>
      <c r="M23" s="11">
        <v>43901</v>
      </c>
      <c r="N23">
        <v>17</v>
      </c>
      <c r="O23" s="12" t="s">
        <v>26</v>
      </c>
      <c r="P23" t="s">
        <v>30</v>
      </c>
      <c r="Q23" s="13">
        <v>0.01</v>
      </c>
      <c r="R23" s="11">
        <v>43901</v>
      </c>
    </row>
    <row r="24" spans="1:18" x14ac:dyDescent="0.25">
      <c r="A24" s="14">
        <f>IF(ISERROR(MATCH(B24,'Callout sheet'!A:A)), 0, 1)</f>
        <v>1</v>
      </c>
      <c r="B24">
        <v>11715651</v>
      </c>
      <c r="C24" t="s">
        <v>75</v>
      </c>
      <c r="D24" t="s">
        <v>35</v>
      </c>
      <c r="E24" s="10">
        <v>43901.497835648152</v>
      </c>
      <c r="F24">
        <v>436464841</v>
      </c>
      <c r="G24" t="s">
        <v>26</v>
      </c>
      <c r="H24" t="s">
        <v>26</v>
      </c>
      <c r="I24" t="s">
        <v>27</v>
      </c>
      <c r="J24" t="s">
        <v>28</v>
      </c>
      <c r="K24" s="11">
        <v>43832</v>
      </c>
      <c r="L24" t="s">
        <v>29</v>
      </c>
      <c r="M24" s="11">
        <v>43901</v>
      </c>
      <c r="N24">
        <v>6</v>
      </c>
      <c r="O24" s="12" t="s">
        <v>26</v>
      </c>
      <c r="P24" t="s">
        <v>30</v>
      </c>
      <c r="Q24" s="13">
        <v>0.01</v>
      </c>
      <c r="R24" s="11">
        <v>43901</v>
      </c>
    </row>
    <row r="25" spans="1:18" x14ac:dyDescent="0.25">
      <c r="A25" s="14">
        <f>IF(ISERROR(MATCH(B25,'Callout sheet'!A:A)), 0, 1)</f>
        <v>1</v>
      </c>
      <c r="B25">
        <v>11718581</v>
      </c>
      <c r="C25" t="s">
        <v>76</v>
      </c>
      <c r="D25" t="s">
        <v>74</v>
      </c>
      <c r="E25" s="10">
        <v>43901.734664351854</v>
      </c>
      <c r="F25">
        <v>467077120</v>
      </c>
      <c r="G25">
        <v>438542347</v>
      </c>
      <c r="H25" t="s">
        <v>26</v>
      </c>
      <c r="I25" t="s">
        <v>27</v>
      </c>
      <c r="J25" t="s">
        <v>28</v>
      </c>
      <c r="K25" s="11">
        <v>43846</v>
      </c>
      <c r="L25" t="s">
        <v>29</v>
      </c>
      <c r="M25" s="11">
        <v>43901</v>
      </c>
      <c r="N25">
        <v>17</v>
      </c>
      <c r="O25" s="12" t="s">
        <v>26</v>
      </c>
      <c r="P25" t="s">
        <v>30</v>
      </c>
      <c r="Q25" s="13">
        <v>0.01</v>
      </c>
      <c r="R25" s="11">
        <v>43901</v>
      </c>
    </row>
    <row r="26" spans="1:18" x14ac:dyDescent="0.25">
      <c r="A26" s="14">
        <f>IF(ISERROR(MATCH(B26,'Callout sheet'!A:A)), 0, 1)</f>
        <v>1</v>
      </c>
      <c r="B26">
        <v>11722768</v>
      </c>
      <c r="C26" t="s">
        <v>79</v>
      </c>
      <c r="D26" t="s">
        <v>80</v>
      </c>
      <c r="E26" s="10">
        <v>43901.573576388888</v>
      </c>
      <c r="F26">
        <v>478680743</v>
      </c>
      <c r="G26" t="s">
        <v>26</v>
      </c>
      <c r="H26" t="s">
        <v>81</v>
      </c>
      <c r="I26" t="s">
        <v>27</v>
      </c>
      <c r="J26" t="s">
        <v>82</v>
      </c>
      <c r="K26" s="11">
        <v>43885</v>
      </c>
      <c r="L26" t="s">
        <v>29</v>
      </c>
      <c r="M26" s="11">
        <v>43901</v>
      </c>
      <c r="N26">
        <v>13</v>
      </c>
      <c r="O26" t="s">
        <v>26</v>
      </c>
      <c r="P26" t="s">
        <v>172</v>
      </c>
      <c r="Q26" s="13">
        <v>0</v>
      </c>
      <c r="R26" s="11">
        <v>43901</v>
      </c>
    </row>
    <row r="27" spans="1:18" x14ac:dyDescent="0.25">
      <c r="A27" s="14">
        <f>IF(ISERROR(MATCH(B27,'Callout sheet'!A:A)), 0, 1)</f>
        <v>1</v>
      </c>
      <c r="B27">
        <v>11722658</v>
      </c>
      <c r="C27" t="s">
        <v>83</v>
      </c>
      <c r="D27" t="s">
        <v>84</v>
      </c>
      <c r="E27" s="10">
        <v>43902.642337962963</v>
      </c>
      <c r="F27">
        <v>407933045</v>
      </c>
      <c r="G27" t="s">
        <v>26</v>
      </c>
      <c r="H27" t="s">
        <v>85</v>
      </c>
      <c r="I27" t="s">
        <v>27</v>
      </c>
      <c r="J27" t="s">
        <v>82</v>
      </c>
      <c r="K27" s="11">
        <v>43882</v>
      </c>
      <c r="L27" t="s">
        <v>29</v>
      </c>
      <c r="M27" s="11">
        <v>43901</v>
      </c>
      <c r="N27">
        <v>20</v>
      </c>
      <c r="O27" t="s">
        <v>26</v>
      </c>
      <c r="P27" t="s">
        <v>172</v>
      </c>
      <c r="Q27" s="13">
        <v>0</v>
      </c>
      <c r="R27" s="11">
        <v>43901</v>
      </c>
    </row>
    <row r="28" spans="1:18" x14ac:dyDescent="0.25">
      <c r="A28" s="14">
        <f>IF(ISERROR(MATCH(B28,'Callout sheet'!A:A)), 0, 1)</f>
        <v>1</v>
      </c>
      <c r="B28">
        <v>11566947</v>
      </c>
      <c r="C28" t="s">
        <v>86</v>
      </c>
      <c r="D28" t="s">
        <v>87</v>
      </c>
      <c r="E28" s="10">
        <v>43902.2659375</v>
      </c>
      <c r="F28">
        <v>393708450</v>
      </c>
      <c r="G28" t="s">
        <v>26</v>
      </c>
      <c r="H28" t="s">
        <v>88</v>
      </c>
      <c r="I28" t="s">
        <v>46</v>
      </c>
      <c r="J28" t="s">
        <v>82</v>
      </c>
      <c r="K28" s="11">
        <v>43882</v>
      </c>
      <c r="L28" t="s">
        <v>29</v>
      </c>
      <c r="M28" s="11">
        <v>43901</v>
      </c>
      <c r="N28">
        <v>16</v>
      </c>
      <c r="O28">
        <v>1</v>
      </c>
      <c r="P28" t="s">
        <v>172</v>
      </c>
      <c r="Q28" s="13">
        <v>0</v>
      </c>
      <c r="R28" s="11">
        <v>43901</v>
      </c>
    </row>
    <row r="29" spans="1:18" x14ac:dyDescent="0.25">
      <c r="A29" s="14">
        <f>IF(ISERROR(MATCH(B29,'Callout sheet'!A:A)), 0, 1)</f>
        <v>0</v>
      </c>
      <c r="B29">
        <v>11395142</v>
      </c>
      <c r="C29" t="s">
        <v>89</v>
      </c>
      <c r="D29" t="s">
        <v>90</v>
      </c>
      <c r="E29" s="10">
        <v>43902.497893518521</v>
      </c>
      <c r="F29">
        <v>400344351</v>
      </c>
      <c r="G29" t="s">
        <v>26</v>
      </c>
      <c r="H29" t="s">
        <v>91</v>
      </c>
      <c r="I29" t="s">
        <v>27</v>
      </c>
      <c r="J29" t="s">
        <v>82</v>
      </c>
      <c r="K29" s="11">
        <v>43879</v>
      </c>
      <c r="L29" t="s">
        <v>29</v>
      </c>
      <c r="M29" s="11">
        <v>43901</v>
      </c>
      <c r="N29">
        <v>14</v>
      </c>
      <c r="O29" t="s">
        <v>26</v>
      </c>
      <c r="P29" t="s">
        <v>172</v>
      </c>
      <c r="Q29" s="13">
        <v>0</v>
      </c>
      <c r="R29" s="11">
        <v>43901</v>
      </c>
    </row>
    <row r="30" spans="1:18" x14ac:dyDescent="0.25">
      <c r="A30" s="14">
        <f>IF(ISERROR(MATCH(B30,'Callout sheet'!A:A)), 0, 1)</f>
        <v>1</v>
      </c>
      <c r="B30">
        <v>11682257</v>
      </c>
      <c r="C30" t="s">
        <v>92</v>
      </c>
      <c r="D30" t="s">
        <v>93</v>
      </c>
      <c r="E30" s="10">
        <v>43902.427048611113</v>
      </c>
      <c r="F30">
        <v>487865049</v>
      </c>
      <c r="G30">
        <v>487865049</v>
      </c>
      <c r="H30" t="s">
        <v>81</v>
      </c>
      <c r="I30" t="s">
        <v>27</v>
      </c>
      <c r="J30" t="s">
        <v>82</v>
      </c>
      <c r="K30" s="11">
        <v>43873</v>
      </c>
      <c r="L30" t="s">
        <v>29</v>
      </c>
      <c r="M30" s="11">
        <v>43900</v>
      </c>
      <c r="N30">
        <v>11</v>
      </c>
      <c r="O30" t="s">
        <v>26</v>
      </c>
      <c r="P30" t="s">
        <v>172</v>
      </c>
      <c r="Q30" s="13">
        <v>0</v>
      </c>
      <c r="R30" s="11">
        <v>43901</v>
      </c>
    </row>
    <row r="31" spans="1:18" x14ac:dyDescent="0.25">
      <c r="A31" s="14">
        <f>IF(ISERROR(MATCH(B31,'Callout sheet'!A:A)), 0, 1)</f>
        <v>1</v>
      </c>
      <c r="B31">
        <v>11718484</v>
      </c>
      <c r="C31" t="s">
        <v>94</v>
      </c>
      <c r="D31" t="s">
        <v>95</v>
      </c>
      <c r="E31" s="10">
        <v>43901.899212962962</v>
      </c>
      <c r="F31">
        <v>403329760</v>
      </c>
      <c r="G31" t="s">
        <v>26</v>
      </c>
      <c r="H31" t="s">
        <v>81</v>
      </c>
      <c r="I31" t="s">
        <v>27</v>
      </c>
      <c r="J31" t="s">
        <v>82</v>
      </c>
      <c r="K31" s="11">
        <v>43873</v>
      </c>
      <c r="L31" t="s">
        <v>29</v>
      </c>
      <c r="M31" s="11">
        <v>43901</v>
      </c>
      <c r="N31">
        <v>20</v>
      </c>
      <c r="O31" t="s">
        <v>26</v>
      </c>
      <c r="P31" t="s">
        <v>172</v>
      </c>
      <c r="Q31" s="13">
        <v>0</v>
      </c>
      <c r="R31" s="11">
        <v>43901</v>
      </c>
    </row>
    <row r="32" spans="1:18" x14ac:dyDescent="0.25">
      <c r="A32" s="14">
        <f>IF(ISERROR(MATCH(B32,'Callout sheet'!A:A)), 0, 1)</f>
        <v>1</v>
      </c>
      <c r="B32">
        <v>11705255</v>
      </c>
      <c r="C32" t="s">
        <v>96</v>
      </c>
      <c r="D32" t="s">
        <v>97</v>
      </c>
      <c r="E32" s="10">
        <v>43902.412476851852</v>
      </c>
      <c r="F32">
        <v>449021083</v>
      </c>
      <c r="G32" t="s">
        <v>26</v>
      </c>
      <c r="H32" t="s">
        <v>85</v>
      </c>
      <c r="I32" t="s">
        <v>46</v>
      </c>
      <c r="J32" t="s">
        <v>82</v>
      </c>
      <c r="K32" s="11">
        <v>43864</v>
      </c>
      <c r="L32" t="s">
        <v>29</v>
      </c>
      <c r="M32" s="11">
        <v>43901</v>
      </c>
      <c r="N32">
        <v>27</v>
      </c>
      <c r="O32" t="s">
        <v>26</v>
      </c>
      <c r="P32" t="s">
        <v>172</v>
      </c>
      <c r="Q32" s="13">
        <v>0</v>
      </c>
      <c r="R32" s="11">
        <v>43901</v>
      </c>
    </row>
    <row r="33" spans="1:18" x14ac:dyDescent="0.25">
      <c r="A33" s="14">
        <f>IF(ISERROR(MATCH(B33,'Callout sheet'!A:A)), 0, 1)</f>
        <v>1</v>
      </c>
      <c r="B33">
        <v>11709434</v>
      </c>
      <c r="C33" t="s">
        <v>98</v>
      </c>
      <c r="D33" t="s">
        <v>99</v>
      </c>
      <c r="E33" s="10">
        <v>43901.919351851851</v>
      </c>
      <c r="F33">
        <v>439037890</v>
      </c>
      <c r="G33">
        <v>408550459</v>
      </c>
      <c r="H33" t="s">
        <v>81</v>
      </c>
      <c r="I33" t="s">
        <v>27</v>
      </c>
      <c r="J33" t="s">
        <v>82</v>
      </c>
      <c r="K33" s="11">
        <v>43864</v>
      </c>
      <c r="L33" t="s">
        <v>29</v>
      </c>
      <c r="M33" s="11">
        <v>43901</v>
      </c>
      <c r="N33">
        <v>15</v>
      </c>
      <c r="O33" t="s">
        <v>26</v>
      </c>
      <c r="P33" t="s">
        <v>172</v>
      </c>
      <c r="Q33" s="13">
        <v>0</v>
      </c>
      <c r="R33" s="11">
        <v>43901</v>
      </c>
    </row>
    <row r="34" spans="1:18" x14ac:dyDescent="0.25">
      <c r="A34" s="14">
        <f>IF(ISERROR(MATCH(B34,'Callout sheet'!A:A)), 0, 1)</f>
        <v>0</v>
      </c>
      <c r="B34">
        <v>11377151</v>
      </c>
      <c r="C34" t="s">
        <v>100</v>
      </c>
      <c r="D34" t="s">
        <v>101</v>
      </c>
      <c r="E34" s="10">
        <v>43902.560381944444</v>
      </c>
      <c r="F34">
        <v>425810451</v>
      </c>
      <c r="G34" t="s">
        <v>26</v>
      </c>
      <c r="H34" t="s">
        <v>85</v>
      </c>
      <c r="I34" t="s">
        <v>27</v>
      </c>
      <c r="J34" t="s">
        <v>82</v>
      </c>
      <c r="K34" s="11">
        <v>43858</v>
      </c>
      <c r="L34" t="s">
        <v>29</v>
      </c>
      <c r="M34" s="11">
        <v>43900</v>
      </c>
      <c r="N34">
        <v>15</v>
      </c>
      <c r="O34" t="s">
        <v>26</v>
      </c>
      <c r="P34" t="s">
        <v>172</v>
      </c>
      <c r="Q34" s="13">
        <v>0</v>
      </c>
      <c r="R34" s="11">
        <v>43901</v>
      </c>
    </row>
    <row r="35" spans="1:18" x14ac:dyDescent="0.25">
      <c r="A35" s="14">
        <f>IF(ISERROR(MATCH(B35,'Callout sheet'!A:A)), 0, 1)</f>
        <v>1</v>
      </c>
      <c r="B35">
        <v>11718542</v>
      </c>
      <c r="C35" t="s">
        <v>102</v>
      </c>
      <c r="D35" t="s">
        <v>103</v>
      </c>
      <c r="E35" s="10">
        <v>43901.706192129626</v>
      </c>
      <c r="F35">
        <v>411573439</v>
      </c>
      <c r="G35">
        <v>411573439</v>
      </c>
      <c r="H35" t="s">
        <v>104</v>
      </c>
      <c r="I35" t="s">
        <v>27</v>
      </c>
      <c r="J35" t="s">
        <v>82</v>
      </c>
      <c r="K35" s="11">
        <v>43847</v>
      </c>
      <c r="L35" t="s">
        <v>29</v>
      </c>
      <c r="M35" s="11">
        <v>43901</v>
      </c>
      <c r="N35">
        <v>18</v>
      </c>
      <c r="O35" t="s">
        <v>26</v>
      </c>
      <c r="P35" t="s">
        <v>172</v>
      </c>
      <c r="Q35" s="13">
        <v>0</v>
      </c>
      <c r="R35" s="11">
        <v>43901</v>
      </c>
    </row>
    <row r="36" spans="1:18" x14ac:dyDescent="0.25">
      <c r="A36" s="14">
        <f>IF(ISERROR(MATCH(B36,'Callout sheet'!A:A)), 0, 1)</f>
        <v>1</v>
      </c>
      <c r="B36">
        <v>11717580</v>
      </c>
      <c r="C36" t="s">
        <v>105</v>
      </c>
      <c r="D36" t="s">
        <v>106</v>
      </c>
      <c r="E36" s="10">
        <v>43902.379143518519</v>
      </c>
      <c r="F36">
        <v>417222145</v>
      </c>
      <c r="G36" t="s">
        <v>26</v>
      </c>
      <c r="H36" t="s">
        <v>104</v>
      </c>
      <c r="I36" t="s">
        <v>27</v>
      </c>
      <c r="J36" t="s">
        <v>82</v>
      </c>
      <c r="K36" s="11">
        <v>43847</v>
      </c>
      <c r="L36" t="s">
        <v>29</v>
      </c>
      <c r="M36" s="11">
        <v>43900</v>
      </c>
      <c r="N36">
        <v>10</v>
      </c>
      <c r="O36" t="s">
        <v>26</v>
      </c>
      <c r="P36" t="s">
        <v>172</v>
      </c>
      <c r="Q36" s="13">
        <v>0</v>
      </c>
      <c r="R36" s="11">
        <v>43901</v>
      </c>
    </row>
    <row r="37" spans="1:18" x14ac:dyDescent="0.25">
      <c r="A37" s="14">
        <f>IF(ISERROR(MATCH(B37,'Callout sheet'!A:A)), 0, 1)</f>
        <v>1</v>
      </c>
      <c r="B37">
        <v>11586420</v>
      </c>
      <c r="C37" t="s">
        <v>107</v>
      </c>
      <c r="D37" t="s">
        <v>108</v>
      </c>
      <c r="E37" s="10">
        <v>43900.503194444442</v>
      </c>
      <c r="F37">
        <v>422927509</v>
      </c>
      <c r="G37">
        <v>422927509</v>
      </c>
      <c r="H37" t="s">
        <v>81</v>
      </c>
      <c r="I37" t="s">
        <v>27</v>
      </c>
      <c r="J37" t="s">
        <v>82</v>
      </c>
      <c r="K37" s="11">
        <v>43845</v>
      </c>
      <c r="L37" t="s">
        <v>29</v>
      </c>
      <c r="M37" s="11">
        <v>43900</v>
      </c>
      <c r="N37">
        <v>4</v>
      </c>
      <c r="O37" t="s">
        <v>26</v>
      </c>
      <c r="P37" t="s">
        <v>172</v>
      </c>
      <c r="Q37" s="13">
        <v>0</v>
      </c>
      <c r="R37" s="11">
        <v>43901</v>
      </c>
    </row>
    <row r="38" spans="1:18" x14ac:dyDescent="0.25">
      <c r="A38" s="14">
        <f>IF(ISERROR(MATCH(B38,'Callout sheet'!A:A)), 0, 1)</f>
        <v>1</v>
      </c>
      <c r="B38">
        <v>11718506</v>
      </c>
      <c r="C38" t="s">
        <v>109</v>
      </c>
      <c r="D38" t="s">
        <v>110</v>
      </c>
      <c r="E38" s="10">
        <v>43902.306909722225</v>
      </c>
      <c r="F38">
        <v>484238308</v>
      </c>
      <c r="G38" t="s">
        <v>26</v>
      </c>
      <c r="H38" t="s">
        <v>104</v>
      </c>
      <c r="I38" t="s">
        <v>27</v>
      </c>
      <c r="J38" t="s">
        <v>82</v>
      </c>
      <c r="K38" s="11">
        <v>43845</v>
      </c>
      <c r="L38" t="s">
        <v>29</v>
      </c>
      <c r="M38" s="11">
        <v>43901</v>
      </c>
      <c r="N38">
        <v>12</v>
      </c>
      <c r="O38" t="s">
        <v>26</v>
      </c>
      <c r="P38" t="s">
        <v>172</v>
      </c>
      <c r="Q38" s="13">
        <v>0</v>
      </c>
      <c r="R38" s="11">
        <v>43901</v>
      </c>
    </row>
    <row r="39" spans="1:18" x14ac:dyDescent="0.25">
      <c r="A39" s="14">
        <f>IF(ISERROR(MATCH(B39,'Callout sheet'!A:A)), 0, 1)</f>
        <v>1</v>
      </c>
      <c r="B39">
        <v>11718541</v>
      </c>
      <c r="C39" t="s">
        <v>102</v>
      </c>
      <c r="D39" t="s">
        <v>111</v>
      </c>
      <c r="E39" s="10">
        <v>43901.621435185189</v>
      </c>
      <c r="F39">
        <v>475554131</v>
      </c>
      <c r="G39" t="s">
        <v>26</v>
      </c>
      <c r="H39" t="s">
        <v>81</v>
      </c>
      <c r="I39" t="s">
        <v>27</v>
      </c>
      <c r="J39" t="s">
        <v>82</v>
      </c>
      <c r="K39" s="11">
        <v>43845</v>
      </c>
      <c r="L39" t="s">
        <v>29</v>
      </c>
      <c r="M39" s="11">
        <v>43901</v>
      </c>
      <c r="N39">
        <v>5</v>
      </c>
      <c r="O39" t="s">
        <v>26</v>
      </c>
      <c r="P39" t="s">
        <v>172</v>
      </c>
      <c r="Q39" s="13">
        <v>0</v>
      </c>
      <c r="R39" s="11">
        <v>43901</v>
      </c>
    </row>
    <row r="40" spans="1:18" x14ac:dyDescent="0.25">
      <c r="A40" s="14">
        <f>IF(ISERROR(MATCH(B40,'Callout sheet'!A:A)), 0, 1)</f>
        <v>1</v>
      </c>
      <c r="B40">
        <v>11712691</v>
      </c>
      <c r="C40" t="s">
        <v>112</v>
      </c>
      <c r="D40" t="s">
        <v>113</v>
      </c>
      <c r="E40" s="10">
        <v>43899.664212962962</v>
      </c>
      <c r="F40">
        <v>269483818</v>
      </c>
      <c r="G40">
        <v>455313830</v>
      </c>
      <c r="H40" t="s">
        <v>85</v>
      </c>
      <c r="I40" t="s">
        <v>27</v>
      </c>
      <c r="J40" t="s">
        <v>82</v>
      </c>
      <c r="K40" s="11">
        <v>43836</v>
      </c>
      <c r="L40" t="s">
        <v>29</v>
      </c>
      <c r="M40" s="11">
        <v>43899</v>
      </c>
      <c r="N40">
        <v>13</v>
      </c>
      <c r="O40" t="s">
        <v>26</v>
      </c>
      <c r="P40" t="s">
        <v>172</v>
      </c>
      <c r="Q40" s="13">
        <v>0</v>
      </c>
      <c r="R40" s="11">
        <v>43901</v>
      </c>
    </row>
    <row r="41" spans="1:18" x14ac:dyDescent="0.25">
      <c r="A41" s="14">
        <f>IF(ISERROR(MATCH(B41,'Callout sheet'!A:A)), 0, 1)</f>
        <v>1</v>
      </c>
      <c r="B41">
        <v>11712377</v>
      </c>
      <c r="C41" t="s">
        <v>114</v>
      </c>
      <c r="D41" t="s">
        <v>115</v>
      </c>
      <c r="E41" s="10">
        <v>43900.741111111114</v>
      </c>
      <c r="F41">
        <v>411214381</v>
      </c>
      <c r="G41" t="s">
        <v>26</v>
      </c>
      <c r="H41" t="s">
        <v>85</v>
      </c>
      <c r="I41" t="s">
        <v>27</v>
      </c>
      <c r="J41" t="s">
        <v>82</v>
      </c>
      <c r="K41" s="11">
        <v>43832</v>
      </c>
      <c r="L41" t="s">
        <v>29</v>
      </c>
      <c r="M41" s="11">
        <v>43900</v>
      </c>
      <c r="N41">
        <v>13</v>
      </c>
      <c r="O41" t="s">
        <v>26</v>
      </c>
      <c r="P41" t="s">
        <v>172</v>
      </c>
      <c r="Q41" s="13">
        <v>0</v>
      </c>
      <c r="R41" s="11">
        <v>43901</v>
      </c>
    </row>
    <row r="42" spans="1:18" x14ac:dyDescent="0.25">
      <c r="A42" s="14">
        <f>IF(ISERROR(MATCH(B42,'Callout sheet'!A:A)), 0, 1)</f>
        <v>1</v>
      </c>
      <c r="B42">
        <v>11715452</v>
      </c>
      <c r="C42" t="s">
        <v>116</v>
      </c>
      <c r="D42" t="s">
        <v>117</v>
      </c>
      <c r="E42" s="10">
        <v>43901.904791666668</v>
      </c>
      <c r="F42">
        <v>412668933</v>
      </c>
      <c r="G42" t="s">
        <v>26</v>
      </c>
      <c r="H42" t="s">
        <v>85</v>
      </c>
      <c r="I42" t="s">
        <v>27</v>
      </c>
      <c r="J42" t="s">
        <v>82</v>
      </c>
      <c r="K42" s="11">
        <v>43825</v>
      </c>
      <c r="L42" t="s">
        <v>29</v>
      </c>
      <c r="M42" s="11">
        <v>43901</v>
      </c>
      <c r="N42">
        <v>15</v>
      </c>
      <c r="O42" t="s">
        <v>26</v>
      </c>
      <c r="P42" t="s">
        <v>172</v>
      </c>
      <c r="Q42" s="13">
        <v>0</v>
      </c>
      <c r="R42" s="11">
        <v>43901</v>
      </c>
    </row>
    <row r="43" spans="1:18" x14ac:dyDescent="0.25">
      <c r="A43" s="14">
        <f>IF(ISERROR(MATCH(B43,'Callout sheet'!A:A)), 0, 1)</f>
        <v>1</v>
      </c>
      <c r="B43">
        <v>11697522</v>
      </c>
      <c r="C43" t="s">
        <v>118</v>
      </c>
      <c r="D43" t="s">
        <v>119</v>
      </c>
      <c r="E43" s="10">
        <v>43902.642337962963</v>
      </c>
      <c r="F43">
        <v>481060653</v>
      </c>
      <c r="G43">
        <v>429672295</v>
      </c>
      <c r="H43" t="s">
        <v>81</v>
      </c>
      <c r="I43" t="s">
        <v>27</v>
      </c>
      <c r="J43" t="s">
        <v>82</v>
      </c>
      <c r="K43" s="11">
        <v>43822</v>
      </c>
      <c r="L43" t="s">
        <v>33</v>
      </c>
      <c r="M43" s="11">
        <v>43901</v>
      </c>
      <c r="N43">
        <v>13</v>
      </c>
      <c r="O43" t="s">
        <v>26</v>
      </c>
      <c r="P43" t="s">
        <v>172</v>
      </c>
      <c r="Q43" s="13">
        <v>0</v>
      </c>
      <c r="R43" s="11">
        <v>43901</v>
      </c>
    </row>
    <row r="44" spans="1:18" x14ac:dyDescent="0.25">
      <c r="A44" s="14">
        <f>IF(ISERROR(MATCH(B44,'Callout sheet'!A:A)), 0, 1)</f>
        <v>1</v>
      </c>
      <c r="B44">
        <v>11716732</v>
      </c>
      <c r="C44" t="s">
        <v>120</v>
      </c>
      <c r="D44" t="s">
        <v>121</v>
      </c>
      <c r="E44" s="10">
        <v>43902.433298611111</v>
      </c>
      <c r="F44">
        <v>468332166</v>
      </c>
      <c r="G44">
        <v>468332166</v>
      </c>
      <c r="H44" t="s">
        <v>81</v>
      </c>
      <c r="I44" t="s">
        <v>27</v>
      </c>
      <c r="J44" t="s">
        <v>82</v>
      </c>
      <c r="K44" s="11">
        <v>43822</v>
      </c>
      <c r="L44" t="s">
        <v>29</v>
      </c>
      <c r="M44" s="11">
        <v>43901</v>
      </c>
      <c r="N44">
        <v>21</v>
      </c>
      <c r="O44" t="s">
        <v>26</v>
      </c>
      <c r="P44" t="s">
        <v>172</v>
      </c>
      <c r="Q44" s="13">
        <v>0</v>
      </c>
      <c r="R44" s="11">
        <v>43901</v>
      </c>
    </row>
    <row r="45" spans="1:18" x14ac:dyDescent="0.25">
      <c r="A45" s="14">
        <f>IF(ISERROR(MATCH(B45,'Callout sheet'!A:A)), 0, 1)</f>
        <v>1</v>
      </c>
      <c r="B45">
        <v>11712820</v>
      </c>
      <c r="C45" t="s">
        <v>122</v>
      </c>
      <c r="D45" t="s">
        <v>123</v>
      </c>
      <c r="E45" s="10">
        <v>43902.302754629629</v>
      </c>
      <c r="F45">
        <v>414650970</v>
      </c>
      <c r="G45">
        <v>414650970</v>
      </c>
      <c r="H45" t="s">
        <v>85</v>
      </c>
      <c r="I45" t="s">
        <v>27</v>
      </c>
      <c r="J45" t="s">
        <v>82</v>
      </c>
      <c r="K45" s="11">
        <v>43822</v>
      </c>
      <c r="L45" t="s">
        <v>29</v>
      </c>
      <c r="M45" s="11">
        <v>43901</v>
      </c>
      <c r="N45">
        <v>18</v>
      </c>
      <c r="O45" t="s">
        <v>26</v>
      </c>
      <c r="P45" t="s">
        <v>172</v>
      </c>
      <c r="Q45" s="13">
        <v>0</v>
      </c>
      <c r="R45" s="11">
        <v>43901</v>
      </c>
    </row>
    <row r="46" spans="1:18" x14ac:dyDescent="0.25">
      <c r="A46" s="14">
        <f>IF(ISERROR(MATCH(B46,'Callout sheet'!A:A)), 0, 1)</f>
        <v>1</v>
      </c>
      <c r="B46">
        <v>11705341</v>
      </c>
      <c r="C46" t="s">
        <v>34</v>
      </c>
      <c r="D46" t="s">
        <v>35</v>
      </c>
      <c r="E46" s="10">
        <v>43902.592314814814</v>
      </c>
      <c r="F46">
        <v>401184057</v>
      </c>
      <c r="G46" t="s">
        <v>26</v>
      </c>
      <c r="H46" t="s">
        <v>104</v>
      </c>
      <c r="I46" t="s">
        <v>27</v>
      </c>
      <c r="J46" t="s">
        <v>82</v>
      </c>
      <c r="K46" s="11">
        <v>43817</v>
      </c>
      <c r="L46" t="s">
        <v>29</v>
      </c>
      <c r="M46" s="11">
        <v>43900</v>
      </c>
      <c r="N46">
        <v>8</v>
      </c>
      <c r="O46" t="s">
        <v>26</v>
      </c>
      <c r="P46" t="s">
        <v>172</v>
      </c>
      <c r="Q46" s="13">
        <v>0</v>
      </c>
      <c r="R46" s="11">
        <v>43901</v>
      </c>
    </row>
    <row r="47" spans="1:18" x14ac:dyDescent="0.25">
      <c r="A47" s="14">
        <f>IF(ISERROR(MATCH(B47,'Callout sheet'!A:A)), 0, 1)</f>
        <v>1</v>
      </c>
      <c r="B47">
        <v>11572445</v>
      </c>
      <c r="C47" t="s">
        <v>124</v>
      </c>
      <c r="D47" t="s">
        <v>125</v>
      </c>
      <c r="E47" s="10">
        <v>43902.62358796296</v>
      </c>
      <c r="F47">
        <v>481975957</v>
      </c>
      <c r="G47" t="s">
        <v>26</v>
      </c>
      <c r="H47" t="s">
        <v>81</v>
      </c>
      <c r="I47" t="s">
        <v>27</v>
      </c>
      <c r="J47" t="s">
        <v>82</v>
      </c>
      <c r="K47" s="11">
        <v>43815</v>
      </c>
      <c r="L47" t="s">
        <v>29</v>
      </c>
      <c r="M47" s="11">
        <v>43901</v>
      </c>
      <c r="N47">
        <v>24</v>
      </c>
      <c r="O47" t="s">
        <v>26</v>
      </c>
      <c r="P47" t="s">
        <v>172</v>
      </c>
      <c r="Q47" s="13">
        <v>0</v>
      </c>
      <c r="R47" s="11">
        <v>43901</v>
      </c>
    </row>
    <row r="48" spans="1:18" x14ac:dyDescent="0.25">
      <c r="A48" s="14">
        <f>IF(ISERROR(MATCH(B48,'Callout sheet'!A:A)), 0, 1)</f>
        <v>1</v>
      </c>
      <c r="B48">
        <v>11628789</v>
      </c>
      <c r="C48" t="s">
        <v>126</v>
      </c>
      <c r="D48" t="s">
        <v>127</v>
      </c>
      <c r="E48" s="10">
        <v>43901.513136574074</v>
      </c>
      <c r="F48">
        <v>431564146</v>
      </c>
      <c r="G48">
        <v>431564146</v>
      </c>
      <c r="H48" t="s">
        <v>104</v>
      </c>
      <c r="I48" t="s">
        <v>27</v>
      </c>
      <c r="J48" t="s">
        <v>82</v>
      </c>
      <c r="K48" s="11">
        <v>43809</v>
      </c>
      <c r="L48" t="s">
        <v>29</v>
      </c>
      <c r="M48" s="11">
        <v>43901</v>
      </c>
      <c r="N48">
        <v>21</v>
      </c>
      <c r="O48" t="s">
        <v>26</v>
      </c>
      <c r="P48" t="s">
        <v>172</v>
      </c>
      <c r="Q48" s="13">
        <v>0</v>
      </c>
      <c r="R48" s="11">
        <v>43901</v>
      </c>
    </row>
    <row r="49" spans="1:18" x14ac:dyDescent="0.25">
      <c r="A49" s="14">
        <f>IF(ISERROR(MATCH(B49,'Callout sheet'!A:A)), 0, 1)</f>
        <v>1</v>
      </c>
      <c r="B49">
        <v>11713973</v>
      </c>
      <c r="C49" t="s">
        <v>128</v>
      </c>
      <c r="D49" t="s">
        <v>129</v>
      </c>
      <c r="E49" s="10">
        <v>43902.668032407404</v>
      </c>
      <c r="F49">
        <v>427353490</v>
      </c>
      <c r="G49" t="s">
        <v>26</v>
      </c>
      <c r="H49" t="s">
        <v>85</v>
      </c>
      <c r="I49" t="s">
        <v>27</v>
      </c>
      <c r="J49" t="s">
        <v>82</v>
      </c>
      <c r="K49" s="11">
        <v>43809</v>
      </c>
      <c r="L49" t="s">
        <v>29</v>
      </c>
      <c r="M49" s="11">
        <v>43901</v>
      </c>
      <c r="N49">
        <v>42</v>
      </c>
      <c r="O49" t="s">
        <v>26</v>
      </c>
      <c r="P49" t="s">
        <v>172</v>
      </c>
      <c r="Q49" s="13">
        <v>0</v>
      </c>
      <c r="R49" s="11">
        <v>43901</v>
      </c>
    </row>
    <row r="50" spans="1:18" x14ac:dyDescent="0.25">
      <c r="A50" s="14">
        <f>IF(ISERROR(MATCH(B50,'Callout sheet'!A:A)), 0, 1)</f>
        <v>1</v>
      </c>
      <c r="B50">
        <v>11683022</v>
      </c>
      <c r="C50" t="s">
        <v>130</v>
      </c>
      <c r="D50" t="s">
        <v>43</v>
      </c>
      <c r="E50" s="10">
        <v>43902.522187499999</v>
      </c>
      <c r="F50">
        <v>488674810</v>
      </c>
      <c r="G50">
        <v>63431911</v>
      </c>
      <c r="H50" t="s">
        <v>85</v>
      </c>
      <c r="I50" t="s">
        <v>27</v>
      </c>
      <c r="J50" t="s">
        <v>82</v>
      </c>
      <c r="K50" s="11">
        <v>43809</v>
      </c>
      <c r="L50" t="s">
        <v>29</v>
      </c>
      <c r="M50" s="11">
        <v>43901</v>
      </c>
      <c r="N50">
        <v>15</v>
      </c>
      <c r="O50" t="s">
        <v>26</v>
      </c>
      <c r="P50" t="s">
        <v>172</v>
      </c>
      <c r="Q50" s="13">
        <v>0</v>
      </c>
      <c r="R50" s="11">
        <v>43901</v>
      </c>
    </row>
    <row r="51" spans="1:18" x14ac:dyDescent="0.25">
      <c r="A51" s="14">
        <f>IF(ISERROR(MATCH(B51,'Callout sheet'!A:A)), 0, 1)</f>
        <v>1</v>
      </c>
      <c r="B51">
        <v>11546087</v>
      </c>
      <c r="C51" t="s">
        <v>131</v>
      </c>
      <c r="D51" t="s">
        <v>132</v>
      </c>
      <c r="E51" s="10">
        <v>43900.854895833334</v>
      </c>
      <c r="F51">
        <v>475267426</v>
      </c>
      <c r="G51">
        <v>475267426</v>
      </c>
      <c r="H51" t="s">
        <v>85</v>
      </c>
      <c r="I51" t="s">
        <v>46</v>
      </c>
      <c r="J51" t="s">
        <v>82</v>
      </c>
      <c r="K51" s="11">
        <v>43809</v>
      </c>
      <c r="L51" t="s">
        <v>29</v>
      </c>
      <c r="M51" s="11">
        <v>43900</v>
      </c>
      <c r="N51">
        <v>14</v>
      </c>
      <c r="O51" t="s">
        <v>26</v>
      </c>
      <c r="P51" t="s">
        <v>172</v>
      </c>
      <c r="Q51" s="13">
        <v>0</v>
      </c>
      <c r="R51" s="11">
        <v>43901</v>
      </c>
    </row>
    <row r="52" spans="1:18" x14ac:dyDescent="0.25">
      <c r="A52" s="14">
        <f>IF(ISERROR(MATCH(B52,'Callout sheet'!A:A)), 0, 1)</f>
        <v>1</v>
      </c>
      <c r="B52">
        <v>11663929</v>
      </c>
      <c r="C52" t="s">
        <v>133</v>
      </c>
      <c r="D52" t="s">
        <v>134</v>
      </c>
      <c r="E52" s="10">
        <v>43901.930509259262</v>
      </c>
      <c r="F52">
        <v>458689578</v>
      </c>
      <c r="G52">
        <v>458689578</v>
      </c>
      <c r="H52" t="s">
        <v>81</v>
      </c>
      <c r="I52" t="s">
        <v>27</v>
      </c>
      <c r="J52" t="s">
        <v>82</v>
      </c>
      <c r="K52" s="11">
        <v>43809</v>
      </c>
      <c r="L52" t="s">
        <v>29</v>
      </c>
      <c r="M52" s="11">
        <v>43901</v>
      </c>
      <c r="N52">
        <v>9</v>
      </c>
      <c r="O52" t="s">
        <v>26</v>
      </c>
      <c r="P52" t="s">
        <v>172</v>
      </c>
      <c r="Q52" s="13">
        <v>0</v>
      </c>
      <c r="R52" s="11">
        <v>43901</v>
      </c>
    </row>
    <row r="53" spans="1:18" x14ac:dyDescent="0.25">
      <c r="A53" s="14">
        <f>IF(ISERROR(MATCH(B53,'Callout sheet'!A:A)), 0, 1)</f>
        <v>1</v>
      </c>
      <c r="B53">
        <v>11712465</v>
      </c>
      <c r="C53" t="s">
        <v>135</v>
      </c>
      <c r="D53" t="s">
        <v>136</v>
      </c>
      <c r="E53" s="10">
        <v>43900.474583333336</v>
      </c>
      <c r="F53">
        <v>466594679</v>
      </c>
      <c r="G53">
        <v>466594679</v>
      </c>
      <c r="H53" t="s">
        <v>104</v>
      </c>
      <c r="I53" t="s">
        <v>27</v>
      </c>
      <c r="J53" t="s">
        <v>82</v>
      </c>
      <c r="K53" s="11">
        <v>43809</v>
      </c>
      <c r="L53" t="s">
        <v>29</v>
      </c>
      <c r="M53" s="11">
        <v>43900</v>
      </c>
      <c r="N53">
        <v>9</v>
      </c>
      <c r="O53" t="s">
        <v>26</v>
      </c>
      <c r="P53" t="s">
        <v>172</v>
      </c>
      <c r="Q53" s="13">
        <v>0</v>
      </c>
      <c r="R53" s="11">
        <v>43901</v>
      </c>
    </row>
    <row r="54" spans="1:18" x14ac:dyDescent="0.25">
      <c r="A54" s="14">
        <f>IF(ISERROR(MATCH(B54,'Callout sheet'!A:A)), 0, 1)</f>
        <v>1</v>
      </c>
      <c r="B54">
        <v>11712180</v>
      </c>
      <c r="C54" t="s">
        <v>137</v>
      </c>
      <c r="D54" t="s">
        <v>138</v>
      </c>
      <c r="E54" s="10">
        <v>43902.5159375</v>
      </c>
      <c r="F54">
        <v>490960300</v>
      </c>
      <c r="G54">
        <v>490960300</v>
      </c>
      <c r="H54" t="s">
        <v>85</v>
      </c>
      <c r="I54" t="s">
        <v>27</v>
      </c>
      <c r="J54" t="s">
        <v>82</v>
      </c>
      <c r="K54" s="11">
        <v>43809</v>
      </c>
      <c r="L54" t="s">
        <v>29</v>
      </c>
      <c r="M54" s="11">
        <v>43901</v>
      </c>
      <c r="N54">
        <v>14</v>
      </c>
      <c r="O54" t="s">
        <v>26</v>
      </c>
      <c r="P54" t="s">
        <v>172</v>
      </c>
      <c r="Q54" s="13">
        <v>0</v>
      </c>
      <c r="R54" s="11">
        <v>43901</v>
      </c>
    </row>
    <row r="55" spans="1:18" x14ac:dyDescent="0.25">
      <c r="A55" s="14">
        <f>IF(ISERROR(MATCH(B55,'Callout sheet'!A:A)), 0, 1)</f>
        <v>1</v>
      </c>
      <c r="B55">
        <v>11711887</v>
      </c>
      <c r="C55" t="s">
        <v>139</v>
      </c>
      <c r="D55" t="s">
        <v>110</v>
      </c>
      <c r="E55" s="10">
        <v>43900.83221064815</v>
      </c>
      <c r="F55">
        <v>479017497</v>
      </c>
      <c r="G55" t="s">
        <v>26</v>
      </c>
      <c r="H55" t="s">
        <v>85</v>
      </c>
      <c r="I55" t="s">
        <v>27</v>
      </c>
      <c r="J55" t="s">
        <v>82</v>
      </c>
      <c r="K55" s="11">
        <v>43809</v>
      </c>
      <c r="L55" t="s">
        <v>29</v>
      </c>
      <c r="M55" s="11">
        <v>43900</v>
      </c>
      <c r="N55">
        <v>12</v>
      </c>
      <c r="O55" t="s">
        <v>26</v>
      </c>
      <c r="P55" t="s">
        <v>172</v>
      </c>
      <c r="Q55" s="13">
        <v>0</v>
      </c>
      <c r="R55" s="11">
        <v>43901</v>
      </c>
    </row>
    <row r="56" spans="1:18" x14ac:dyDescent="0.25">
      <c r="A56" s="14">
        <f>IF(ISERROR(MATCH(B56,'Callout sheet'!A:A)), 0, 1)</f>
        <v>1</v>
      </c>
      <c r="B56">
        <v>11690680</v>
      </c>
      <c r="C56" t="s">
        <v>140</v>
      </c>
      <c r="D56" t="s">
        <v>141</v>
      </c>
      <c r="E56" s="10">
        <v>43901.686018518521</v>
      </c>
      <c r="F56">
        <v>457280431</v>
      </c>
      <c r="G56">
        <v>457280431</v>
      </c>
      <c r="H56" t="s">
        <v>104</v>
      </c>
      <c r="I56" t="s">
        <v>27</v>
      </c>
      <c r="J56" t="s">
        <v>82</v>
      </c>
      <c r="K56" s="11">
        <v>43809</v>
      </c>
      <c r="L56" t="s">
        <v>29</v>
      </c>
      <c r="M56" s="11">
        <v>43901</v>
      </c>
      <c r="N56">
        <v>10</v>
      </c>
      <c r="O56" t="s">
        <v>26</v>
      </c>
      <c r="P56" t="s">
        <v>172</v>
      </c>
      <c r="Q56" s="13">
        <v>0</v>
      </c>
      <c r="R56" s="11">
        <v>43901</v>
      </c>
    </row>
    <row r="57" spans="1:18" x14ac:dyDescent="0.25">
      <c r="A57" s="14">
        <f>IF(ISERROR(MATCH(B57,'Callout sheet'!A:A)), 0, 1)</f>
        <v>1</v>
      </c>
      <c r="B57">
        <v>11712457</v>
      </c>
      <c r="C57" t="s">
        <v>142</v>
      </c>
      <c r="D57" t="s">
        <v>143</v>
      </c>
      <c r="E57" s="10">
        <v>43902.570104166669</v>
      </c>
      <c r="F57">
        <v>447431155</v>
      </c>
      <c r="G57">
        <v>488431113</v>
      </c>
      <c r="H57" t="s">
        <v>85</v>
      </c>
      <c r="I57" t="s">
        <v>27</v>
      </c>
      <c r="J57" t="s">
        <v>82</v>
      </c>
      <c r="K57" s="11">
        <v>43809</v>
      </c>
      <c r="L57" t="s">
        <v>29</v>
      </c>
      <c r="M57" s="11">
        <v>43900</v>
      </c>
      <c r="N57">
        <v>10</v>
      </c>
      <c r="O57" t="s">
        <v>26</v>
      </c>
      <c r="P57" t="s">
        <v>172</v>
      </c>
      <c r="Q57" s="13">
        <v>0</v>
      </c>
      <c r="R57" s="11">
        <v>43901</v>
      </c>
    </row>
    <row r="58" spans="1:18" x14ac:dyDescent="0.25">
      <c r="A58" s="14">
        <f>IF(ISERROR(MATCH(B58,'Callout sheet'!A:A)), 0, 1)</f>
        <v>1</v>
      </c>
      <c r="B58">
        <v>11705102</v>
      </c>
      <c r="C58" t="s">
        <v>144</v>
      </c>
      <c r="D58" t="s">
        <v>145</v>
      </c>
      <c r="E58" s="10">
        <v>43900.502800925926</v>
      </c>
      <c r="F58">
        <v>488451712</v>
      </c>
      <c r="G58" t="s">
        <v>26</v>
      </c>
      <c r="H58" t="s">
        <v>85</v>
      </c>
      <c r="I58" t="s">
        <v>46</v>
      </c>
      <c r="J58" t="s">
        <v>82</v>
      </c>
      <c r="K58" s="11">
        <v>43809</v>
      </c>
      <c r="L58" t="s">
        <v>29</v>
      </c>
      <c r="M58" s="11">
        <v>43900</v>
      </c>
      <c r="N58">
        <v>14</v>
      </c>
      <c r="O58" t="s">
        <v>26</v>
      </c>
      <c r="P58" t="s">
        <v>172</v>
      </c>
      <c r="Q58" s="13">
        <v>0</v>
      </c>
      <c r="R58" s="11">
        <v>43901</v>
      </c>
    </row>
    <row r="59" spans="1:18" x14ac:dyDescent="0.25">
      <c r="A59" s="14">
        <f>IF(ISERROR(MATCH(B59,'Callout sheet'!A:A)), 0, 1)</f>
        <v>1</v>
      </c>
      <c r="B59">
        <v>11712160</v>
      </c>
      <c r="C59" t="s">
        <v>146</v>
      </c>
      <c r="D59" t="s">
        <v>147</v>
      </c>
      <c r="E59" s="10">
        <v>43899.637916666667</v>
      </c>
      <c r="F59">
        <v>413905053</v>
      </c>
      <c r="G59">
        <v>44460305</v>
      </c>
      <c r="H59" t="s">
        <v>104</v>
      </c>
      <c r="I59" t="s">
        <v>27</v>
      </c>
      <c r="J59" t="s">
        <v>82</v>
      </c>
      <c r="K59" s="11">
        <v>43809</v>
      </c>
      <c r="L59" t="s">
        <v>29</v>
      </c>
      <c r="M59" s="11">
        <v>43899</v>
      </c>
      <c r="N59">
        <v>10</v>
      </c>
      <c r="O59" t="s">
        <v>26</v>
      </c>
      <c r="P59" t="s">
        <v>172</v>
      </c>
      <c r="Q59" s="13">
        <v>0</v>
      </c>
      <c r="R59" s="11">
        <v>43901</v>
      </c>
    </row>
    <row r="60" spans="1:18" x14ac:dyDescent="0.25">
      <c r="A60" s="14">
        <f>IF(ISERROR(MATCH(B60,'Callout sheet'!A:A)), 0, 1)</f>
        <v>1</v>
      </c>
      <c r="B60">
        <v>11690276</v>
      </c>
      <c r="C60" t="s">
        <v>36</v>
      </c>
      <c r="D60" t="s">
        <v>37</v>
      </c>
      <c r="E60" s="10">
        <v>43900.802349537036</v>
      </c>
      <c r="F60">
        <v>401518070</v>
      </c>
      <c r="G60">
        <v>401518070</v>
      </c>
      <c r="H60" t="s">
        <v>85</v>
      </c>
      <c r="I60" t="s">
        <v>27</v>
      </c>
      <c r="J60" t="s">
        <v>82</v>
      </c>
      <c r="K60" s="11">
        <v>43809</v>
      </c>
      <c r="L60" t="s">
        <v>29</v>
      </c>
      <c r="M60" s="11">
        <v>43900</v>
      </c>
      <c r="N60">
        <v>10</v>
      </c>
      <c r="O60" t="s">
        <v>26</v>
      </c>
      <c r="P60" t="s">
        <v>172</v>
      </c>
      <c r="Q60" s="13">
        <v>0</v>
      </c>
      <c r="R60" s="11">
        <v>43901</v>
      </c>
    </row>
    <row r="61" spans="1:18" x14ac:dyDescent="0.25">
      <c r="A61" s="14">
        <f>IF(ISERROR(MATCH(B61,'Callout sheet'!A:A)), 0, 1)</f>
        <v>1</v>
      </c>
      <c r="B61">
        <v>11615285</v>
      </c>
      <c r="C61" t="s">
        <v>148</v>
      </c>
      <c r="D61" t="s">
        <v>90</v>
      </c>
      <c r="E61" s="10">
        <v>43902.622199074074</v>
      </c>
      <c r="F61">
        <v>428844457</v>
      </c>
      <c r="G61" t="s">
        <v>26</v>
      </c>
      <c r="H61" t="s">
        <v>104</v>
      </c>
      <c r="I61" t="s">
        <v>46</v>
      </c>
      <c r="J61" t="s">
        <v>82</v>
      </c>
      <c r="K61" s="11">
        <v>43809</v>
      </c>
      <c r="L61" t="s">
        <v>29</v>
      </c>
      <c r="M61" s="11">
        <v>43901</v>
      </c>
      <c r="N61">
        <v>11</v>
      </c>
      <c r="O61" t="s">
        <v>26</v>
      </c>
      <c r="P61" t="s">
        <v>172</v>
      </c>
      <c r="Q61" s="13">
        <v>0</v>
      </c>
      <c r="R61" s="11">
        <v>43901</v>
      </c>
    </row>
    <row r="62" spans="1:18" x14ac:dyDescent="0.25">
      <c r="A62" s="14">
        <f>IF(ISERROR(MATCH(B62,'Callout sheet'!A:A)), 0, 1)</f>
        <v>1</v>
      </c>
      <c r="B62">
        <v>11704499</v>
      </c>
      <c r="C62" t="s">
        <v>149</v>
      </c>
      <c r="D62" t="s">
        <v>150</v>
      </c>
      <c r="E62" s="10">
        <v>43902.472199074073</v>
      </c>
      <c r="F62">
        <v>7.9999929609926001E+19</v>
      </c>
      <c r="G62" t="s">
        <v>26</v>
      </c>
      <c r="H62" t="s">
        <v>81</v>
      </c>
      <c r="I62" t="s">
        <v>46</v>
      </c>
      <c r="J62" t="s">
        <v>82</v>
      </c>
      <c r="K62" s="11">
        <v>43809</v>
      </c>
      <c r="L62" t="s">
        <v>29</v>
      </c>
      <c r="M62" s="11">
        <v>43901</v>
      </c>
      <c r="N62">
        <v>10</v>
      </c>
      <c r="O62" t="s">
        <v>26</v>
      </c>
      <c r="P62" t="s">
        <v>172</v>
      </c>
      <c r="Q62" s="13">
        <v>0</v>
      </c>
      <c r="R62" s="11">
        <v>43901</v>
      </c>
    </row>
    <row r="63" spans="1:18" x14ac:dyDescent="0.25">
      <c r="A63" s="14">
        <f>IF(ISERROR(MATCH(B63,'Callout sheet'!A:A)), 0, 1)</f>
        <v>1</v>
      </c>
      <c r="B63">
        <v>11706999</v>
      </c>
      <c r="C63" t="s">
        <v>151</v>
      </c>
      <c r="D63" t="s">
        <v>152</v>
      </c>
      <c r="E63" s="10">
        <v>43901.674895833334</v>
      </c>
      <c r="F63">
        <v>479071850</v>
      </c>
      <c r="G63" t="s">
        <v>26</v>
      </c>
      <c r="H63" t="s">
        <v>88</v>
      </c>
      <c r="I63" t="s">
        <v>46</v>
      </c>
      <c r="J63" t="s">
        <v>82</v>
      </c>
      <c r="K63" s="11">
        <v>43809</v>
      </c>
      <c r="L63" t="s">
        <v>29</v>
      </c>
      <c r="M63" s="11">
        <v>43901</v>
      </c>
      <c r="N63">
        <v>19</v>
      </c>
      <c r="O63" t="s">
        <v>26</v>
      </c>
      <c r="P63" t="s">
        <v>172</v>
      </c>
      <c r="Q63" s="13">
        <v>0</v>
      </c>
      <c r="R63" s="11">
        <v>43901</v>
      </c>
    </row>
    <row r="64" spans="1:18" x14ac:dyDescent="0.25">
      <c r="A64" s="14">
        <f>IF(ISERROR(MATCH(B64,'Callout sheet'!A:A)), 0, 1)</f>
        <v>1</v>
      </c>
      <c r="B64">
        <v>11705899</v>
      </c>
      <c r="C64" t="s">
        <v>153</v>
      </c>
      <c r="D64" t="s">
        <v>154</v>
      </c>
      <c r="E64" s="10">
        <v>43901.976990740739</v>
      </c>
      <c r="F64">
        <v>499222438</v>
      </c>
      <c r="G64">
        <v>499222438</v>
      </c>
      <c r="H64" t="s">
        <v>81</v>
      </c>
      <c r="I64" t="s">
        <v>46</v>
      </c>
      <c r="J64" t="s">
        <v>82</v>
      </c>
      <c r="K64" s="11">
        <v>43809</v>
      </c>
      <c r="L64" t="s">
        <v>29</v>
      </c>
      <c r="M64" s="11">
        <v>43901</v>
      </c>
      <c r="N64">
        <v>13</v>
      </c>
      <c r="O64" t="s">
        <v>26</v>
      </c>
      <c r="P64" t="s">
        <v>172</v>
      </c>
      <c r="Q64" s="13">
        <v>0</v>
      </c>
      <c r="R64" s="11">
        <v>43901</v>
      </c>
    </row>
    <row r="65" spans="1:18" x14ac:dyDescent="0.25">
      <c r="A65" s="14">
        <f>IF(ISERROR(MATCH(B65,'Callout sheet'!A:A)), 0, 1)</f>
        <v>1</v>
      </c>
      <c r="B65">
        <v>11706538</v>
      </c>
      <c r="C65" t="s">
        <v>155</v>
      </c>
      <c r="D65" t="s">
        <v>156</v>
      </c>
      <c r="E65" s="10">
        <v>43900.901805555557</v>
      </c>
      <c r="F65">
        <v>478139619</v>
      </c>
      <c r="G65">
        <v>478139619</v>
      </c>
      <c r="H65" t="s">
        <v>85</v>
      </c>
      <c r="I65" t="s">
        <v>27</v>
      </c>
      <c r="J65" t="s">
        <v>82</v>
      </c>
      <c r="K65" s="11">
        <v>43809</v>
      </c>
      <c r="L65" t="s">
        <v>29</v>
      </c>
      <c r="M65" s="11">
        <v>43900</v>
      </c>
      <c r="N65">
        <v>15</v>
      </c>
      <c r="O65" t="s">
        <v>26</v>
      </c>
      <c r="P65" t="s">
        <v>172</v>
      </c>
      <c r="Q65" s="13">
        <v>0</v>
      </c>
      <c r="R65" s="11">
        <v>43901</v>
      </c>
    </row>
    <row r="66" spans="1:18" x14ac:dyDescent="0.25">
      <c r="A66" s="14">
        <f>IF(ISERROR(MATCH(B66,'Callout sheet'!A:A)), 0, 1)</f>
        <v>1</v>
      </c>
      <c r="B66">
        <v>11712674</v>
      </c>
      <c r="C66" t="s">
        <v>157</v>
      </c>
      <c r="D66" t="s">
        <v>158</v>
      </c>
      <c r="E66" s="10">
        <v>43900.66878472222</v>
      </c>
      <c r="F66">
        <v>477206225</v>
      </c>
      <c r="G66" t="s">
        <v>26</v>
      </c>
      <c r="H66" t="s">
        <v>85</v>
      </c>
      <c r="I66" t="s">
        <v>27</v>
      </c>
      <c r="J66" t="s">
        <v>82</v>
      </c>
      <c r="K66" s="11">
        <v>43809</v>
      </c>
      <c r="L66" t="s">
        <v>29</v>
      </c>
      <c r="M66" s="11">
        <v>43900</v>
      </c>
      <c r="N66">
        <v>9</v>
      </c>
      <c r="O66" t="s">
        <v>26</v>
      </c>
      <c r="P66" t="s">
        <v>172</v>
      </c>
      <c r="Q66" s="13">
        <v>0</v>
      </c>
      <c r="R66" s="11">
        <v>43901</v>
      </c>
    </row>
    <row r="67" spans="1:18" x14ac:dyDescent="0.25">
      <c r="A67" s="14">
        <f>IF(ISERROR(MATCH(B67,'Callout sheet'!A:A)), 0, 1)</f>
        <v>1</v>
      </c>
      <c r="B67">
        <v>11705910</v>
      </c>
      <c r="C67" t="s">
        <v>159</v>
      </c>
      <c r="D67" t="s">
        <v>160</v>
      </c>
      <c r="E67" s="10">
        <v>43902.471493055556</v>
      </c>
      <c r="F67">
        <v>428763402</v>
      </c>
      <c r="G67" t="s">
        <v>26</v>
      </c>
      <c r="H67" t="s">
        <v>88</v>
      </c>
      <c r="I67" t="s">
        <v>46</v>
      </c>
      <c r="J67" t="s">
        <v>82</v>
      </c>
      <c r="K67" s="11">
        <v>43809</v>
      </c>
      <c r="L67" t="s">
        <v>29</v>
      </c>
      <c r="M67" s="11">
        <v>43901</v>
      </c>
      <c r="N67">
        <v>20</v>
      </c>
      <c r="O67" t="s">
        <v>26</v>
      </c>
      <c r="P67" t="s">
        <v>172</v>
      </c>
      <c r="Q67" s="13">
        <v>0</v>
      </c>
      <c r="R67" s="11">
        <v>43901</v>
      </c>
    </row>
    <row r="68" spans="1:18" x14ac:dyDescent="0.25">
      <c r="A68" s="14">
        <f>IF(ISERROR(MATCH(B68,'Callout sheet'!A:A)), 0, 1)</f>
        <v>0</v>
      </c>
      <c r="B68">
        <v>11157389</v>
      </c>
      <c r="C68" t="s">
        <v>161</v>
      </c>
      <c r="D68" t="s">
        <v>43</v>
      </c>
      <c r="E68" s="10">
        <v>43901.583923611113</v>
      </c>
      <c r="F68">
        <v>404043490</v>
      </c>
      <c r="G68">
        <v>404043490</v>
      </c>
      <c r="H68" t="s">
        <v>88</v>
      </c>
      <c r="I68" t="s">
        <v>46</v>
      </c>
      <c r="J68" t="s">
        <v>82</v>
      </c>
      <c r="K68" s="11">
        <v>43809</v>
      </c>
      <c r="L68" t="s">
        <v>29</v>
      </c>
      <c r="M68" s="11">
        <v>43901</v>
      </c>
      <c r="N68">
        <v>15</v>
      </c>
      <c r="O68" t="s">
        <v>26</v>
      </c>
      <c r="P68" t="s">
        <v>172</v>
      </c>
      <c r="Q68" s="13">
        <v>0</v>
      </c>
      <c r="R68" s="11">
        <v>43901</v>
      </c>
    </row>
    <row r="69" spans="1:18" x14ac:dyDescent="0.25">
      <c r="A69" s="14">
        <f>IF(ISERROR(MATCH(B69,'Callout sheet'!A:A)), 0, 1)</f>
        <v>1</v>
      </c>
      <c r="B69">
        <v>11712875</v>
      </c>
      <c r="C69" t="s">
        <v>162</v>
      </c>
      <c r="D69" t="s">
        <v>163</v>
      </c>
      <c r="E69" s="10">
        <v>43901.939513888887</v>
      </c>
      <c r="F69">
        <v>432304791</v>
      </c>
      <c r="G69" t="s">
        <v>26</v>
      </c>
      <c r="H69" t="s">
        <v>85</v>
      </c>
      <c r="I69" t="s">
        <v>27</v>
      </c>
      <c r="J69" t="s">
        <v>82</v>
      </c>
      <c r="K69" s="11">
        <v>43809</v>
      </c>
      <c r="L69" t="s">
        <v>29</v>
      </c>
      <c r="M69" s="11">
        <v>43901</v>
      </c>
      <c r="N69">
        <v>24</v>
      </c>
      <c r="O69" t="s">
        <v>26</v>
      </c>
      <c r="P69" t="s">
        <v>172</v>
      </c>
      <c r="Q69" s="13">
        <v>0</v>
      </c>
      <c r="R69" s="11">
        <v>43901</v>
      </c>
    </row>
    <row r="70" spans="1:18" x14ac:dyDescent="0.25">
      <c r="A70" s="14">
        <f>IF(ISERROR(MATCH(B70,'Callout sheet'!A:A)), 0, 1)</f>
        <v>1</v>
      </c>
      <c r="B70">
        <v>11658752</v>
      </c>
      <c r="C70" t="s">
        <v>61</v>
      </c>
      <c r="D70" t="s">
        <v>62</v>
      </c>
      <c r="E70" s="10">
        <v>43900.396793981483</v>
      </c>
      <c r="F70">
        <v>403139354</v>
      </c>
      <c r="G70" t="s">
        <v>26</v>
      </c>
      <c r="H70" t="s">
        <v>85</v>
      </c>
      <c r="I70" t="s">
        <v>46</v>
      </c>
      <c r="J70" t="s">
        <v>82</v>
      </c>
      <c r="K70" s="11">
        <v>43809</v>
      </c>
      <c r="L70" t="s">
        <v>29</v>
      </c>
      <c r="M70" s="11">
        <v>43900</v>
      </c>
      <c r="N70">
        <v>8</v>
      </c>
      <c r="O70" t="s">
        <v>26</v>
      </c>
      <c r="P70" t="s">
        <v>172</v>
      </c>
      <c r="Q70" s="13">
        <v>0</v>
      </c>
      <c r="R70" s="11">
        <v>43901</v>
      </c>
    </row>
    <row r="71" spans="1:18" x14ac:dyDescent="0.25">
      <c r="A71" s="14">
        <f>IF(ISERROR(MATCH(B71,'Callout sheet'!A:A)), 0, 1)</f>
        <v>1</v>
      </c>
      <c r="B71">
        <v>11658516</v>
      </c>
      <c r="C71" t="s">
        <v>44</v>
      </c>
      <c r="D71" t="s">
        <v>45</v>
      </c>
      <c r="E71" s="10">
        <v>43902.573576388888</v>
      </c>
      <c r="F71">
        <v>459174903</v>
      </c>
      <c r="G71" t="s">
        <v>26</v>
      </c>
      <c r="H71" t="s">
        <v>85</v>
      </c>
      <c r="I71" t="s">
        <v>46</v>
      </c>
      <c r="J71" t="s">
        <v>82</v>
      </c>
      <c r="K71" s="11">
        <v>43809</v>
      </c>
      <c r="L71" t="s">
        <v>29</v>
      </c>
      <c r="M71" s="11">
        <v>43900</v>
      </c>
      <c r="N71">
        <v>11</v>
      </c>
      <c r="O71" t="s">
        <v>26</v>
      </c>
      <c r="P71" t="s">
        <v>172</v>
      </c>
      <c r="Q71" s="13">
        <v>0</v>
      </c>
      <c r="R71" s="11">
        <v>43901</v>
      </c>
    </row>
    <row r="72" spans="1:18" x14ac:dyDescent="0.25">
      <c r="A72" s="14">
        <f>IF(ISERROR(MATCH(B72,'Callout sheet'!A:A)), 0, 1)</f>
        <v>1</v>
      </c>
      <c r="B72">
        <v>11686827</v>
      </c>
      <c r="C72" t="s">
        <v>73</v>
      </c>
      <c r="D72" t="s">
        <v>74</v>
      </c>
      <c r="E72" s="10">
        <v>43902.381909722222</v>
      </c>
      <c r="F72">
        <v>458760612</v>
      </c>
      <c r="G72">
        <v>458760612</v>
      </c>
      <c r="H72" t="s">
        <v>85</v>
      </c>
      <c r="I72" t="s">
        <v>27</v>
      </c>
      <c r="J72" t="s">
        <v>82</v>
      </c>
      <c r="K72" s="11">
        <v>43809</v>
      </c>
      <c r="L72" t="s">
        <v>29</v>
      </c>
      <c r="M72" s="11">
        <v>43901</v>
      </c>
      <c r="N72">
        <v>17</v>
      </c>
      <c r="O72" t="s">
        <v>26</v>
      </c>
      <c r="P72" t="s">
        <v>172</v>
      </c>
      <c r="Q72" s="13">
        <v>0</v>
      </c>
      <c r="R72" s="11">
        <v>43901</v>
      </c>
    </row>
    <row r="73" spans="1:18" x14ac:dyDescent="0.25">
      <c r="A73" s="14">
        <f>IF(ISERROR(MATCH(B73,'Callout sheet'!A:A)), 0, 1)</f>
        <v>1</v>
      </c>
      <c r="B73">
        <v>11712417</v>
      </c>
      <c r="C73" t="s">
        <v>164</v>
      </c>
      <c r="D73" t="s">
        <v>165</v>
      </c>
      <c r="E73" s="10">
        <v>43902.37704861111</v>
      </c>
      <c r="F73">
        <v>401369980</v>
      </c>
      <c r="G73">
        <v>69313131</v>
      </c>
      <c r="H73" t="s">
        <v>104</v>
      </c>
      <c r="I73" t="s">
        <v>27</v>
      </c>
      <c r="J73" t="s">
        <v>82</v>
      </c>
      <c r="K73" s="11">
        <v>43809</v>
      </c>
      <c r="L73" t="s">
        <v>29</v>
      </c>
      <c r="M73" s="11">
        <v>43900</v>
      </c>
      <c r="N73">
        <v>8</v>
      </c>
      <c r="O73" t="s">
        <v>26</v>
      </c>
      <c r="P73" t="s">
        <v>172</v>
      </c>
      <c r="Q73" s="13">
        <v>0</v>
      </c>
      <c r="R73" s="11">
        <v>43901</v>
      </c>
    </row>
    <row r="74" spans="1:18" x14ac:dyDescent="0.25">
      <c r="A74" s="14">
        <f>IF(ISERROR(MATCH(B74,'Callout sheet'!A:A)), 0, 1)</f>
        <v>1</v>
      </c>
      <c r="B74">
        <v>11686027</v>
      </c>
      <c r="C74" t="s">
        <v>166</v>
      </c>
      <c r="D74" t="s">
        <v>167</v>
      </c>
      <c r="E74" s="10">
        <v>43901.94023148148</v>
      </c>
      <c r="F74">
        <v>457772700</v>
      </c>
      <c r="G74">
        <v>457772700</v>
      </c>
      <c r="H74" t="s">
        <v>85</v>
      </c>
      <c r="I74" t="s">
        <v>27</v>
      </c>
      <c r="J74" t="s">
        <v>82</v>
      </c>
      <c r="K74" s="11">
        <v>43809</v>
      </c>
      <c r="L74" t="s">
        <v>29</v>
      </c>
      <c r="M74" s="11">
        <v>43901</v>
      </c>
      <c r="N74">
        <v>13</v>
      </c>
      <c r="O74" t="s">
        <v>26</v>
      </c>
      <c r="P74" t="s">
        <v>172</v>
      </c>
      <c r="Q74" s="13">
        <v>0</v>
      </c>
      <c r="R74" s="11">
        <v>43901</v>
      </c>
    </row>
    <row r="75" spans="1:18" x14ac:dyDescent="0.25">
      <c r="A75" s="14">
        <f>IF(ISERROR(MATCH(B75,'Callout sheet'!A:A)), 0, 1)</f>
        <v>1</v>
      </c>
      <c r="B75">
        <v>11712813</v>
      </c>
      <c r="C75" t="s">
        <v>168</v>
      </c>
      <c r="D75" t="s">
        <v>169</v>
      </c>
      <c r="E75" s="10">
        <v>43902.426342592589</v>
      </c>
      <c r="F75">
        <v>473416231</v>
      </c>
      <c r="G75">
        <v>350200442</v>
      </c>
      <c r="H75" t="s">
        <v>85</v>
      </c>
      <c r="I75" t="s">
        <v>27</v>
      </c>
      <c r="J75" t="s">
        <v>82</v>
      </c>
      <c r="K75" s="11">
        <v>43809</v>
      </c>
      <c r="L75" t="s">
        <v>29</v>
      </c>
      <c r="M75" s="11">
        <v>43899</v>
      </c>
      <c r="N75">
        <v>6</v>
      </c>
      <c r="O75" t="s">
        <v>26</v>
      </c>
      <c r="P75" t="s">
        <v>172</v>
      </c>
      <c r="Q75" s="13">
        <v>0</v>
      </c>
      <c r="R75" s="11">
        <v>43901</v>
      </c>
    </row>
    <row r="76" spans="1:18" x14ac:dyDescent="0.25">
      <c r="A76" s="14">
        <f>IF(ISERROR(MATCH(B76,'Callout sheet'!A:A)), 0, 1)</f>
        <v>0</v>
      </c>
      <c r="B76">
        <v>11417142</v>
      </c>
      <c r="C76" t="s">
        <v>170</v>
      </c>
      <c r="D76" t="s">
        <v>171</v>
      </c>
      <c r="E76" s="10">
        <v>43901.845034722224</v>
      </c>
      <c r="F76">
        <v>269265201</v>
      </c>
      <c r="G76">
        <v>269265201</v>
      </c>
      <c r="H76" t="s">
        <v>85</v>
      </c>
      <c r="I76" t="s">
        <v>46</v>
      </c>
      <c r="J76" t="s">
        <v>82</v>
      </c>
      <c r="K76" s="11">
        <v>43805</v>
      </c>
      <c r="L76" t="s">
        <v>29</v>
      </c>
      <c r="M76" s="11">
        <v>43901</v>
      </c>
      <c r="N76">
        <v>18</v>
      </c>
      <c r="O76" t="s">
        <v>26</v>
      </c>
      <c r="P76" t="s">
        <v>172</v>
      </c>
      <c r="Q76" s="13">
        <v>0</v>
      </c>
      <c r="R76" s="11">
        <v>43901</v>
      </c>
    </row>
  </sheetData>
  <conditionalFormatting sqref="A2:A24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AblebitsBackupSheet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Callout sheet</vt:lpstr>
      <vt:lpstr>#Everything (2)</vt:lpstr>
    </vt:vector>
  </TitlesOfParts>
  <Company>Charles Sturt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vanderPloeg, Neil</dc:creator>
  <cp:lastModifiedBy>Hicks, Ben</cp:lastModifiedBy>
  <dcterms:created xsi:type="dcterms:W3CDTF">2020-03-12T04:47:01Z</dcterms:created>
  <dcterms:modified xsi:type="dcterms:W3CDTF">2020-03-12T06:16:53Z</dcterms:modified>
</cp:coreProperties>
</file>